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ates" sheetId="2" state="visible" r:id="rId4"/>
    <sheet name="BOQ" sheetId="3" state="visible" r:id="rId5"/>
    <sheet name="Totals" sheetId="4" state="visible" r:id="rId6"/>
    <sheet name="Stages" sheetId="5" state="visible" r:id="rId7"/>
    <sheet name="Steel" sheetId="6" state="visible" r:id="rId8"/>
    <sheet name="Levels" sheetId="7" state="visible" r:id="rId9"/>
  </sheets>
  <definedNames>
    <definedName function="false" hidden="true" localSheetId="2" name="_xlnm._FilterDatabase" vbProcedure="false">BOQ!$A$4:$U$452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69" authorId="0">
      <text>
        <r>
          <rPr>
            <sz val="10"/>
            <rFont val="Arial"/>
            <family val="2"/>
          </rPr>
          <t xml:space="preserve">Earth to buy = fill required (loose) - surplus excavated earth x 1.25 bulking. Live formula from the EXC / BACKFILL / EFILL rows.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1" authorId="0">
      <text>
        <r>
          <rPr>
            <sz val="10"/>
            <rFont val="Arial"/>
            <family val="2"/>
          </rPr>
          <t xml:space="preserve">Binding wire = 10 kg per ton of steel (gross), Register E4.</t>
        </r>
      </text>
    </comment>
  </commentList>
</comments>
</file>

<file path=xl/sharedStrings.xml><?xml version="1.0" encoding="utf-8"?>
<sst xmlns="http://schemas.openxmlformats.org/spreadsheetml/2006/main" count="4102" uniqueCount="1118">
  <si>
    <t xml:space="preserve">House No. 79/K, WAPDA City Faisalabad - Grey Structure MATERIAL Estimate, Rev 1</t>
  </si>
  <si>
    <t xml:space="preserve">Material only (no labour). Quantities from the structural and working drawings and the owner's Final Decisions Register. Rates Oct 2026.</t>
  </si>
  <si>
    <t xml:space="preserve">Total material cost (PKR)</t>
  </si>
  <si>
    <t xml:space="preserve">Covered area (sft)</t>
  </si>
  <si>
    <t xml:space="preserve">Cost per sft of covered area (PKR)</t>
  </si>
  <si>
    <t xml:space="preserve">Main material</t>
  </si>
  <si>
    <t xml:space="preserve">Purchase qty</t>
  </si>
  <si>
    <t xml:space="preserve">Unit</t>
  </si>
  <si>
    <t xml:space="preserve">Cost (PKR)</t>
  </si>
  <si>
    <t xml:space="preserve">Cement OPC 50 kg</t>
  </si>
  <si>
    <t xml:space="preserve">Bricks first class</t>
  </si>
  <si>
    <t xml:space="preserve">Steel #3 (10 mm)</t>
  </si>
  <si>
    <t xml:space="preserve">Steel #4 (12 mm)</t>
  </si>
  <si>
    <t xml:space="preserve">Steel #6 (20 mm)</t>
  </si>
  <si>
    <t xml:space="preserve">Steel #2 (6 mm)</t>
  </si>
  <si>
    <t xml:space="preserve">Binding wire</t>
  </si>
  <si>
    <t xml:space="preserve">Crush ¾" Sargodha</t>
  </si>
  <si>
    <t xml:space="preserve">Chenab sand</t>
  </si>
  <si>
    <t xml:space="preserve">Ravi sand</t>
  </si>
  <si>
    <t xml:space="preserve">Khangar (stone ballast)</t>
  </si>
  <si>
    <t xml:space="preserve">Earth to buy</t>
  </si>
  <si>
    <t xml:space="preserve">Hot bitumen</t>
  </si>
  <si>
    <t xml:space="preserve">Roof membrane 4 mm</t>
  </si>
  <si>
    <t xml:space="preserve">Bhatta roof tiles</t>
  </si>
  <si>
    <t xml:space="preserve">Sheets: BOQ (lines, live formulas) | Totals (purchase) | Rates (edit yellow cells) | Stages | Steel | Levels</t>
  </si>
  <si>
    <t xml:space="preserve">Inputs: yellow cells with blue text on the Rates sheet (rate, wastage) and the covered area on Totals.</t>
  </si>
  <si>
    <t xml:space="preserve">Rates and wastage - edit the yellow cells (blue text = input)</t>
  </si>
  <si>
    <t xml:space="preserve">Rates in PKR per unit, Faisalabad, October 2026. "estimated" = no published 2026 figure found. Wastage per Register K2 (lower-middle of normal range).</t>
  </si>
  <si>
    <t xml:space="preserve">Key</t>
  </si>
  <si>
    <t xml:space="preserve">Material</t>
  </si>
  <si>
    <t xml:space="preserve">Wastage %</t>
  </si>
  <si>
    <t xml:space="preserve">Rate (PKR / unit)</t>
  </si>
  <si>
    <t xml:space="preserve">Buying unit</t>
  </si>
  <si>
    <t xml:space="preserve">Unit size</t>
  </si>
  <si>
    <t xml:space="preserve">Rate date</t>
  </si>
  <si>
    <t xml:space="preserve">Source / note</t>
  </si>
  <si>
    <t xml:space="preserve">Group</t>
  </si>
  <si>
    <t xml:space="preserve">CEM</t>
  </si>
  <si>
    <t xml:space="preserve">Cement OPC, 50 kg bag (Lucky / Bestway / Maple Leaf)</t>
  </si>
  <si>
    <t xml:space="preserve">bag</t>
  </si>
  <si>
    <t xml:space="preserve">Sep 2026</t>
  </si>
  <si>
    <t xml:space="preserve">ARY News "Cement Price in Pakistan Today", 15 Aug 2026 (Rs 1,500-1,610/bag); Sep 2026 brand list (Lucky 1,500-1,540, Bestway 1,430-1,570, Maple Leaf 1,570) - Faisalabad estimate</t>
  </si>
  <si>
    <t xml:space="preserve">Cement</t>
  </si>
  <si>
    <t xml:space="preserve">BRK</t>
  </si>
  <si>
    <t xml:space="preserve">Bricks, first class (awwal), 9" x 4½" x 3"</t>
  </si>
  <si>
    <t xml:space="preserve">nos</t>
  </si>
  <si>
    <t xml:space="preserve">1,000 bricks</t>
  </si>
  <si>
    <t xml:space="preserve">Jan-Oct 2026</t>
  </si>
  <si>
    <t xml:space="preserve">The News (PBS) Jan 2026: Lahore Rs 17,463/1,000; Pak Observer: Faisalabad DC-fixed A-class Rs 12,000/1,000 - market estimate Rs 16,000/1,000</t>
  </si>
  <si>
    <t xml:space="preserve">Bricks</t>
  </si>
  <si>
    <t xml:space="preserve">ST2</t>
  </si>
  <si>
    <t xml:space="preserve">Steel Grade 60 deformed, #2 (6 mm) rings</t>
  </si>
  <si>
    <t xml:space="preserve">kg</t>
  </si>
  <si>
    <t xml:space="preserve">10 kg</t>
  </si>
  <si>
    <t xml:space="preserve">Grade 60 Rs 258-265/kg (Daily Ausaf 19 Sep 2026 / Daily Qudrat 26 Sep 2026 price reports) + small-bar premium (estimated)</t>
  </si>
  <si>
    <t xml:space="preserve">Steel</t>
  </si>
  <si>
    <t xml:space="preserve">ST3</t>
  </si>
  <si>
    <t xml:space="preserve">Steel Grade 60 deformed, #3 (10 mm) (Amreli / Mughal / FF Steel)</t>
  </si>
  <si>
    <t xml:space="preserve">Grade 60 Rs 258-265/kg (Daily Ausaf 19 Sep 2026 / Daily Qudrat 26 Sep 2026 price reports)</t>
  </si>
  <si>
    <t xml:space="preserve">ST4</t>
  </si>
  <si>
    <t xml:space="preserve">Steel Grade 60 deformed, #4 (12 mm)</t>
  </si>
  <si>
    <t xml:space="preserve">as #3</t>
  </si>
  <si>
    <t xml:space="preserve">ST6</t>
  </si>
  <si>
    <t xml:space="preserve">Steel Grade 60 deformed, #6 (20 mm)</t>
  </si>
  <si>
    <t xml:space="preserve">BWIRE</t>
  </si>
  <si>
    <t xml:space="preserve">Binding wire, annealed 18 gauge</t>
  </si>
  <si>
    <t xml:space="preserve">5 kg</t>
  </si>
  <si>
    <t xml:space="preserve">Oct 2026</t>
  </si>
  <si>
    <t xml:space="preserve">estimated</t>
  </si>
  <si>
    <t xml:space="preserve">SNDC</t>
  </si>
  <si>
    <t xml:space="preserve">Chenab sand (concrete, screed)</t>
  </si>
  <si>
    <t xml:space="preserve">cft</t>
  </si>
  <si>
    <t xml:space="preserve">50 cft</t>
  </si>
  <si>
    <t xml:space="preserve">Jul 2026</t>
  </si>
  <si>
    <t xml:space="preserve">toolsfluent.com Pakistan construction cost guide 2026: river sand Rs 65/cft</t>
  </si>
  <si>
    <t xml:space="preserve">Sand</t>
  </si>
  <si>
    <t xml:space="preserve">SNDM</t>
  </si>
  <si>
    <t xml:space="preserve">Ravi sand (mortar, plaster, blinding, fill)</t>
  </si>
  <si>
    <t xml:space="preserve">estimated (about 60% of Chenab sand rate)</t>
  </si>
  <si>
    <t xml:space="preserve">CRS</t>
  </si>
  <si>
    <t xml:space="preserve">Crush ¾" down, Sargodha (bajri)</t>
  </si>
  <si>
    <t xml:space="preserve">toolsfluent.com 2026 guide: crush Rs 105/cft + delivery to Faisalabad (estimated)</t>
  </si>
  <si>
    <t xml:space="preserve">Crush</t>
  </si>
  <si>
    <t xml:space="preserve">KHG</t>
  </si>
  <si>
    <t xml:space="preserve">Stone ballast (khangar) 1½"-2½"</t>
  </si>
  <si>
    <t xml:space="preserve">Stone ballast</t>
  </si>
  <si>
    <t xml:space="preserve">EARTH</t>
  </si>
  <si>
    <t xml:space="preserve">Earth (mitti) for filling, delivered</t>
  </si>
  <si>
    <t xml:space="preserve">estimated (~Rs 2,500 per 100-cft tractor-trolley); 20% compaction already in quantity</t>
  </si>
  <si>
    <t xml:space="preserve">Earth</t>
  </si>
  <si>
    <t xml:space="preserve">POLY</t>
  </si>
  <si>
    <t xml:space="preserve">Polythene sheet 0.2 mm (800 gauge)</t>
  </si>
  <si>
    <t xml:space="preserve">Waterproofing</t>
  </si>
  <si>
    <t xml:space="preserve">BIT</t>
  </si>
  <si>
    <t xml:space="preserve">Hot bitumen 60/70 (drum)</t>
  </si>
  <si>
    <t xml:space="preserve">2025-26</t>
  </si>
  <si>
    <t xml:space="preserve">Argus Media: NRL 60/70 bitumen FOB Karachi $380-420/t (Sep-Nov 2025) + local drum and dealer margin (estimated)</t>
  </si>
  <si>
    <t xml:space="preserve">ADMX</t>
  </si>
  <si>
    <t xml:space="preserve">Integral waterproofing compound (powder), 1 kg per bag of cement</t>
  </si>
  <si>
    <t xml:space="preserve">PRIM</t>
  </si>
  <si>
    <t xml:space="preserve">Bitumen primer</t>
  </si>
  <si>
    <t xml:space="preserve">L</t>
  </si>
  <si>
    <t xml:space="preserve">4 L tin</t>
  </si>
  <si>
    <t xml:space="preserve">MEMB</t>
  </si>
  <si>
    <t xml:space="preserve">4 mm APP/SBS modified-bitumen membrane (1 m x 10 m roll)</t>
  </si>
  <si>
    <t xml:space="preserve">m2</t>
  </si>
  <si>
    <t xml:space="preserve">roll (10 m2)</t>
  </si>
  <si>
    <t xml:space="preserve">estimated, material only</t>
  </si>
  <si>
    <t xml:space="preserve">LPG</t>
  </si>
  <si>
    <t xml:space="preserve">LPG for torching (11.8 kg cylinder)</t>
  </si>
  <si>
    <t xml:space="preserve">cylinder (11.8 kg)</t>
  </si>
  <si>
    <t xml:space="preserve">estimated (often supplied by applicator)</t>
  </si>
  <si>
    <t xml:space="preserve">COATW</t>
  </si>
  <si>
    <t xml:space="preserve">Polymer-modified cementitious waterproof coating (2-component)</t>
  </si>
  <si>
    <t xml:space="preserve">COATF</t>
  </si>
  <si>
    <t xml:space="preserve">Food-safe (potable-water) cementitious coating</t>
  </si>
  <si>
    <t xml:space="preserve">WSTOP</t>
  </si>
  <si>
    <t xml:space="preserve">PVC water-stop 150 mm</t>
  </si>
  <si>
    <t xml:space="preserve">ft</t>
  </si>
  <si>
    <t xml:space="preserve">TERM</t>
  </si>
  <si>
    <t xml:space="preserve">Termiticide: bifenthrin 10% EC (1 L makes 200 L emulsion)</t>
  </si>
  <si>
    <t xml:space="preserve">Anti-termite</t>
  </si>
  <si>
    <t xml:space="preserve">TILE</t>
  </si>
  <si>
    <t xml:space="preserve">Bhatta (brick) roof tiles 9" x 4½" x 1½"</t>
  </si>
  <si>
    <t xml:space="preserve">100 tiles</t>
  </si>
  <si>
    <t xml:space="preserve">Roof tiles</t>
  </si>
  <si>
    <t xml:space="preserve">MESH</t>
  </si>
  <si>
    <t xml:space="preserve">Galvanised chicken mesh, roll 3 ft x 100 ft</t>
  </si>
  <si>
    <t xml:space="preserve">roll</t>
  </si>
  <si>
    <t xml:space="preserve">Chicken mesh</t>
  </si>
  <si>
    <t xml:space="preserve">NAIL</t>
  </si>
  <si>
    <t xml:space="preserve">Concrete nails with washers for mesh</t>
  </si>
  <si>
    <t xml:space="preserve">UP5</t>
  </si>
  <si>
    <t xml:space="preserve">UPVC sewer pipe 5" (Dadex / Beta)</t>
  </si>
  <si>
    <t xml:space="preserve">20-ft length</t>
  </si>
  <si>
    <t xml:space="preserve">Sewer pipes</t>
  </si>
  <si>
    <t xml:space="preserve">UP4</t>
  </si>
  <si>
    <t xml:space="preserve">UPVC sewer pipe 4"</t>
  </si>
  <si>
    <t xml:space="preserve">UP3</t>
  </si>
  <si>
    <t xml:space="preserve">UPVC pipe 3" (waste / vent)</t>
  </si>
  <si>
    <t xml:space="preserve">RWP3</t>
  </si>
  <si>
    <t xml:space="preserve">UPVC rain-water pipe 3"</t>
  </si>
  <si>
    <t xml:space="preserve">FUP5</t>
  </si>
  <si>
    <t xml:space="preserve">UPVC fittings 5" (bends, tees, sockets)</t>
  </si>
  <si>
    <t xml:space="preserve">FUP4</t>
  </si>
  <si>
    <t xml:space="preserve">UPVC fittings 4"</t>
  </si>
  <si>
    <t xml:space="preserve">FUP3</t>
  </si>
  <si>
    <t xml:space="preserve">UPVC fittings 3" incl. floor / gully traps, roof outlets</t>
  </si>
  <si>
    <t xml:space="preserve">COWL</t>
  </si>
  <si>
    <t xml:space="preserve">Vent cowl 3"</t>
  </si>
  <si>
    <t xml:space="preserve">CICOV</t>
  </si>
  <si>
    <t xml:space="preserve">Heavy-duty CI manhole cover with frame 20" x 20"</t>
  </si>
  <si>
    <t xml:space="preserve">Covers</t>
  </si>
  <si>
    <t xml:space="preserve">UGTCOV</t>
  </si>
  <si>
    <t xml:space="preserve">Lockable steel / CI tank cover 2' x 2'</t>
  </si>
  <si>
    <t xml:space="preserve">PVC20</t>
  </si>
  <si>
    <t xml:space="preserve">PVC drain pipe ¾" (20 mm) for A.C condensate</t>
  </si>
  <si>
    <t xml:space="preserve">10-ft length</t>
  </si>
  <si>
    <t xml:space="preserve">SSCAP</t>
  </si>
  <si>
    <t xml:space="preserve">Stainless-steel mesh cap for A.C drain outlet</t>
  </si>
  <si>
    <t xml:space="preserve">PPR114</t>
  </si>
  <si>
    <t xml:space="preserve">PPR pipe 1¼" (40 mm) PN-16 (Popular / Dadex / Master)</t>
  </si>
  <si>
    <t xml:space="preserve">13-ft length</t>
  </si>
  <si>
    <t xml:space="preserve">May 2026</t>
  </si>
  <si>
    <t xml:space="preserve">icons.com.pk PPRC price list 25 May 2026 (32 mm Rs 463-751/m) - 40 mm estimated</t>
  </si>
  <si>
    <t xml:space="preserve">Water pipes</t>
  </si>
  <si>
    <t xml:space="preserve">PPR1</t>
  </si>
  <si>
    <t xml:space="preserve">PPR pipe 1" (32 mm) PN-16</t>
  </si>
  <si>
    <t xml:space="preserve">icons.com.pk 25 May 2026: 32 mm Rs 463-751/m</t>
  </si>
  <si>
    <t xml:space="preserve">PPR34C</t>
  </si>
  <si>
    <t xml:space="preserve">PPR pipe ¾" (25 mm) PN-16, cold</t>
  </si>
  <si>
    <t xml:space="preserve">icons.com.pk 25 May 2026: 25 mm Rs 288-462/m</t>
  </si>
  <si>
    <t xml:space="preserve">PPR12C</t>
  </si>
  <si>
    <t xml:space="preserve">PPR pipe ½" (20 mm) PN-16, cold</t>
  </si>
  <si>
    <t xml:space="preserve">icons.com.pk 25 May 2026 (from Rs 186/m) - estimated</t>
  </si>
  <si>
    <t xml:space="preserve">PPR34H</t>
  </si>
  <si>
    <t xml:space="preserve">PPR pipe ¾" (25 mm) PN-20, hot</t>
  </si>
  <si>
    <t xml:space="preserve">icons.com.pk 25 May 2026 upper range - estimated</t>
  </si>
  <si>
    <t xml:space="preserve">PPR12H</t>
  </si>
  <si>
    <t xml:space="preserve">PPR pipe ½" (20 mm) PN-20, hot</t>
  </si>
  <si>
    <t xml:space="preserve">GI</t>
  </si>
  <si>
    <t xml:space="preserve">GI pipe medium class ½"-¾" for gas (SNGPL-approved)</t>
  </si>
  <si>
    <t xml:space="preserve">Gas pipes</t>
  </si>
  <si>
    <t xml:space="preserve">FPPR</t>
  </si>
  <si>
    <t xml:space="preserve">PPR fittings (average)</t>
  </si>
  <si>
    <t xml:space="preserve">VALVE</t>
  </si>
  <si>
    <t xml:space="preserve">Ball / gate valves (average)</t>
  </si>
  <si>
    <t xml:space="preserve">FLOAT</t>
  </si>
  <si>
    <t xml:space="preserve">Float valve ¾" for underground tank</t>
  </si>
  <si>
    <t xml:space="preserve">FGI</t>
  </si>
  <si>
    <t xml:space="preserve">GI fittings ½"-¾"</t>
  </si>
  <si>
    <t xml:space="preserve">C34</t>
  </si>
  <si>
    <t xml:space="preserve">PVC conduit ¾" heavy gauge</t>
  </si>
  <si>
    <t xml:space="preserve">Electrical</t>
  </si>
  <si>
    <t xml:space="preserve">C1</t>
  </si>
  <si>
    <t xml:space="preserve">PVC conduit 1" heavy gauge</t>
  </si>
  <si>
    <t xml:space="preserve">C114</t>
  </si>
  <si>
    <t xml:space="preserve">PVC conduit 1¼" heavy gauge</t>
  </si>
  <si>
    <t xml:space="preserve">C112</t>
  </si>
  <si>
    <t xml:space="preserve">PVC conduit 1½" heavy gauge</t>
  </si>
  <si>
    <t xml:space="preserve">BEND34</t>
  </si>
  <si>
    <t xml:space="preserve">Conduit bend ¾"</t>
  </si>
  <si>
    <t xml:space="preserve">BEND1</t>
  </si>
  <si>
    <t xml:space="preserve">Conduit bend 1"</t>
  </si>
  <si>
    <t xml:space="preserve">BEND114</t>
  </si>
  <si>
    <t xml:space="preserve">Conduit bend 1¼"</t>
  </si>
  <si>
    <t xml:space="preserve">BEND112</t>
  </si>
  <si>
    <t xml:space="preserve">Conduit bend 1½"</t>
  </si>
  <si>
    <t xml:space="preserve">CPL34</t>
  </si>
  <si>
    <t xml:space="preserve">Conduit coupler ¾"</t>
  </si>
  <si>
    <t xml:space="preserve">CPL1</t>
  </si>
  <si>
    <t xml:space="preserve">Conduit coupler 1"</t>
  </si>
  <si>
    <t xml:space="preserve">CPL114</t>
  </si>
  <si>
    <t xml:space="preserve">Conduit coupler 1¼"</t>
  </si>
  <si>
    <t xml:space="preserve">CPL112</t>
  </si>
  <si>
    <t xml:space="preserve">Conduit coupler 1½"</t>
  </si>
  <si>
    <t xml:space="preserve">SOLV</t>
  </si>
  <si>
    <t xml:space="preserve">PVC solvent cement (tin)</t>
  </si>
  <si>
    <t xml:space="preserve">BXSB</t>
  </si>
  <si>
    <t xml:space="preserve">Switch-board back box (assorted 3"x3" to 12"x3")</t>
  </si>
  <si>
    <t xml:space="preserve">BXSKT</t>
  </si>
  <si>
    <t xml:space="preserve">Socket back box</t>
  </si>
  <si>
    <t xml:space="preserve">BXAC</t>
  </si>
  <si>
    <t xml:space="preserve">A.C point box</t>
  </si>
  <si>
    <t xml:space="preserve">BXFAN</t>
  </si>
  <si>
    <t xml:space="preserve">Fan box with hook</t>
  </si>
  <si>
    <t xml:space="preserve">BXLT</t>
  </si>
  <si>
    <t xml:space="preserve">Round light junction box</t>
  </si>
  <si>
    <t xml:space="preserve">BXAP</t>
  </si>
  <si>
    <t xml:space="preserve">Ceiling box for Wi-Fi access point</t>
  </si>
  <si>
    <t xml:space="preserve">BXCC</t>
  </si>
  <si>
    <t xml:space="preserve">CCTV camera junction box</t>
  </si>
  <si>
    <t xml:space="preserve">BXNVR</t>
  </si>
  <si>
    <t xml:space="preserve">NVR / router enclosure box</t>
  </si>
  <si>
    <t xml:space="preserve">BXBELL</t>
  </si>
  <si>
    <t xml:space="preserve">Bell push box</t>
  </si>
  <si>
    <t xml:space="preserve">DB12</t>
  </si>
  <si>
    <t xml:space="preserve">DB enclosure 12-way (empty)</t>
  </si>
  <si>
    <t xml:space="preserve">DB8</t>
  </si>
  <si>
    <t xml:space="preserve">DB enclosure 8-way (empty)</t>
  </si>
  <si>
    <t xml:space="preserve">DB6</t>
  </si>
  <si>
    <t xml:space="preserve">DB enclosure 6-way (empty)</t>
  </si>
  <si>
    <t xml:space="preserve">DB4</t>
  </si>
  <si>
    <t xml:space="preserve">DB enclosure 4-way (empty)</t>
  </si>
  <si>
    <t xml:space="preserve">EVBOX</t>
  </si>
  <si>
    <t xml:space="preserve">EV charger isolator enclosure</t>
  </si>
  <si>
    <t xml:space="preserve">ROD</t>
  </si>
  <si>
    <t xml:space="preserve">Copper-bonded earth rod 5/8" x 10 ft</t>
  </si>
  <si>
    <t xml:space="preserve">Earthing</t>
  </si>
  <si>
    <t xml:space="preserve">ECMP</t>
  </si>
  <si>
    <t xml:space="preserve">Earthing compound, 25 kg bag</t>
  </si>
  <si>
    <t xml:space="preserve">ECHM</t>
  </si>
  <si>
    <t xml:space="preserve">Earth-pit inspection chamber with cover</t>
  </si>
  <si>
    <t xml:space="preserve">SLV2</t>
  </si>
  <si>
    <t xml:space="preserve">PVC sleeve 2"</t>
  </si>
  <si>
    <t xml:space="preserve">JBOLT</t>
  </si>
  <si>
    <t xml:space="preserve">M12 x 250 mm galvanised J-bolt with nut and washer</t>
  </si>
  <si>
    <t xml:space="preserve">Solar plinths</t>
  </si>
  <si>
    <t xml:space="preserve">Legend: yellow cells with blue text are inputs; all other numbers in this workbook are formulas.</t>
  </si>
  <si>
    <t xml:space="preserve">Example: to price cement at Rs 1,600 per bag, type 1600 in the cement row of column E; every sheet updates.</t>
  </si>
  <si>
    <t xml:space="preserve">House 79/K - Grey structure MATERIAL BOQ, Revision 1 (by construction stage)</t>
  </si>
  <si>
    <t xml:space="preserve">One row per material of each BOQ line. Net qty = measured quantity; Gross = Net x (1 + wastage); Amount = Gross x Rate. Wastage and rates come from the Rates sheet. Purchase rounding to buying units is on the Totals sheet.</t>
  </si>
  <si>
    <t xml:space="preserve">Stage</t>
  </si>
  <si>
    <t xml:space="preserve">Stage name</t>
  </si>
  <si>
    <t xml:space="preserve">Item</t>
  </si>
  <si>
    <t xml:space="preserve">Location</t>
  </si>
  <si>
    <t xml:space="preserve">Description</t>
  </si>
  <si>
    <t xml:space="preserve">Dimensions</t>
  </si>
  <si>
    <t xml:space="preserve">Quantity working</t>
  </si>
  <si>
    <t xml:space="preserve">Item qty</t>
  </si>
  <si>
    <t xml:space="preserve">Item unit</t>
  </si>
  <si>
    <t xml:space="preserve">Register</t>
  </si>
  <si>
    <t xml:space="preserve">Member group</t>
  </si>
  <si>
    <t xml:space="preserve">Earth tag</t>
  </si>
  <si>
    <t xml:space="preserve">Mat. key</t>
  </si>
  <si>
    <t xml:space="preserve">Net qty</t>
  </si>
  <si>
    <t xml:space="preserve">Gross qty</t>
  </si>
  <si>
    <t xml:space="preserve">Rate (PKR)</t>
  </si>
  <si>
    <t xml:space="preserve">Amount (PKR)</t>
  </si>
  <si>
    <t xml:space="preserve">Loads (trolleys)</t>
  </si>
  <si>
    <t xml:space="preserve">S1</t>
  </si>
  <si>
    <t xml:space="preserve">Levels and layout</t>
  </si>
  <si>
    <t xml:space="preserve">1.1</t>
  </si>
  <si>
    <t xml:space="preserve">Whole plot</t>
  </si>
  <si>
    <t xml:space="preserve">Level survey and setting out (no materials)</t>
  </si>
  <si>
    <t xml:space="preserve">Road crown = ±0; NSL = -1'-6"; FFL +2'-9"; porches +1'-3"; lawn +1'-2"</t>
  </si>
  <si>
    <t xml:space="preserve">Take levels at the 4 corners and centre before digging; set out walls from sheets 04/06 (architect's dimensions govern)</t>
  </si>
  <si>
    <t xml:space="preserve">job</t>
  </si>
  <si>
    <t xml:space="preserve">A1, A3</t>
  </si>
  <si>
    <t xml:space="preserve">S2</t>
  </si>
  <si>
    <t xml:space="preserve">Excavation</t>
  </si>
  <si>
    <t xml:space="preserve">2.1</t>
  </si>
  <si>
    <t xml:space="preserve">All house walls</t>
  </si>
  <si>
    <t xml:space="preserve">Excavation of wall trenches to PCC bottom, 2'-6" below NSL (4'-0" below road)</t>
  </si>
  <si>
    <t xml:space="preserve">PCC footprint 927.4 sft (3'-0" under 9" walls, 2'-6" under 4½" walls; union of all walls, eccentric on property line)</t>
  </si>
  <si>
    <t xml:space="preserve">927.4 sft x 2.50 ft x 1.10 working space</t>
  </si>
  <si>
    <t xml:space="preserve">A1, A3, C1, C2, C4</t>
  </si>
  <si>
    <t xml:space="preserve">EXC</t>
  </si>
  <si>
    <t xml:space="preserve">2.2</t>
  </si>
  <si>
    <t xml:space="preserve">Car-porch front corner</t>
  </si>
  <si>
    <t xml:space="preserve">Excavation for isolated column footing</t>
  </si>
  <si>
    <t xml:space="preserve">3'-6" x 3'-6" x 2'-6" deep</t>
  </si>
  <si>
    <t xml:space="preserve">3.5 x 3.5 x 2.5 x 1.10</t>
  </si>
  <si>
    <t xml:space="preserve">C5</t>
  </si>
  <si>
    <t xml:space="preserve">2.3</t>
  </si>
  <si>
    <t xml:space="preserve">Porch, lawn and gate edges</t>
  </si>
  <si>
    <t xml:space="preserve">Excavation for edge / retaining walls (section D-D), PCC bottom 2'-3" below NSL</t>
  </si>
  <si>
    <t xml:space="preserve">42.7 ft x 2'-6" x 2'-3"</t>
  </si>
  <si>
    <t xml:space="preserve">42.71 x 2.5 x 2.25 x 1.10</t>
  </si>
  <si>
    <t xml:space="preserve">C6</t>
  </si>
  <si>
    <t xml:space="preserve">S3</t>
  </si>
  <si>
    <t xml:space="preserve">Anti-termite treatment</t>
  </si>
  <si>
    <t xml:space="preserve">3.1</t>
  </si>
  <si>
    <t xml:space="preserve">House trenches</t>
  </si>
  <si>
    <t xml:space="preserve">Termiticide on trench bottoms and sides, before PCC</t>
  </si>
  <si>
    <t xml:space="preserve">bottoms 927 sft + sides 2 x 370.7 ft x 2'-6"</t>
  </si>
  <si>
    <t xml:space="preserve">2,781 sft = 258.4 m2 x 5 L/m2 = 1,292 L emulsion; ÷ 200</t>
  </si>
  <si>
    <t xml:space="preserve">B1</t>
  </si>
  <si>
    <t xml:space="preserve">3.2</t>
  </si>
  <si>
    <t xml:space="preserve">House floor + both car porches</t>
  </si>
  <si>
    <t xml:space="preserve">Termiticide on top of compacted plinth filling, before khangar</t>
  </si>
  <si>
    <t xml:space="preserve">rooms 1,363 + front porch 308 + rear porch 143 sft</t>
  </si>
  <si>
    <t xml:space="preserve">1,814 sft = 168.5 m2 x 5 L/m2 = 843 L emulsion; ÷ 200</t>
  </si>
  <si>
    <t xml:space="preserve">3.3</t>
  </si>
  <si>
    <t xml:space="preserve">House perimeter</t>
  </si>
  <si>
    <t xml:space="preserve">Termiticide in soil along outside of plinth walls, after back-filling</t>
  </si>
  <si>
    <t xml:space="preserve">outer walls 173.7 ft</t>
  </si>
  <si>
    <t xml:space="preserve">52.9 m x 2.25 L/m = 119 L emulsion; ÷ 200</t>
  </si>
  <si>
    <t xml:space="preserve">S4</t>
  </si>
  <si>
    <t xml:space="preserve">Foundations</t>
  </si>
  <si>
    <t xml:space="preserve">4.1</t>
  </si>
  <si>
    <t xml:space="preserve">PCC 1:4:8, 3" thick, under brick footings (sheet 05 widths 3'-0" / 2'-6")</t>
  </si>
  <si>
    <t xml:space="preserve">927.4 sft x 3"</t>
  </si>
  <si>
    <t xml:space="preserve">927.4 x 0.25</t>
  </si>
  <si>
    <t xml:space="preserve">C1, C3</t>
  </si>
  <si>
    <t xml:space="preserve">4.2</t>
  </si>
  <si>
    <t xml:space="preserve">Brick footing in 1:6: steps 27" / 22½" / 18" under 9" walls, 22½" / 18" / 13½" under 4½" walls, 6" each</t>
  </si>
  <si>
    <t xml:space="preserve">union plan areas 719.8 + 604.8 + 485.2 sft x 6"</t>
  </si>
  <si>
    <t xml:space="preserve">(719.8 + 604.8 + 485.2) x 0.5</t>
  </si>
  <si>
    <t xml:space="preserve">4.3</t>
  </si>
  <si>
    <t xml:space="preserve">Foundation wall in 1:6 from top of steps (-2'-3") to road level: 13½" under 9" walls, 9" under 4½" walls</t>
  </si>
  <si>
    <t xml:space="preserve">plan 361.0 sft x 2'-3"</t>
  </si>
  <si>
    <t xml:space="preserve">361.0 x 2.25</t>
  </si>
  <si>
    <t xml:space="preserve">4.4</t>
  </si>
  <si>
    <t xml:space="preserve">Plinth wall 9" in 1:6 from road level to underside of plinth beam (+1'-10½")</t>
  </si>
  <si>
    <t xml:space="preserve">plan 270.6 sft x 1'-10½"</t>
  </si>
  <si>
    <t xml:space="preserve">270.6 x 1.875</t>
  </si>
  <si>
    <t xml:space="preserve">C1, B4</t>
  </si>
  <si>
    <t xml:space="preserve">4.5</t>
  </si>
  <si>
    <t xml:space="preserve">PCC 1:4:8, 3", under isolated column footing</t>
  </si>
  <si>
    <t xml:space="preserve">3'-6" x 3'-6" x 3"</t>
  </si>
  <si>
    <t xml:space="preserve">3.5 x 3.5 x 0.25</t>
  </si>
  <si>
    <t xml:space="preserve">4.6</t>
  </si>
  <si>
    <t xml:space="preserve">RCC isolated footing 1:2:4, 3'-0" x 3'-0" x 1'-0", #4 @ 6" both ways (the only RCC footing)</t>
  </si>
  <si>
    <t xml:space="preserve">3' x 3' x 1'</t>
  </si>
  <si>
    <t xml:space="preserve">9.0 cft; #4: 2 ways x 7 bars x 2'-9"</t>
  </si>
  <si>
    <t xml:space="preserve">Column footing</t>
  </si>
  <si>
    <t xml:space="preserve">4.7</t>
  </si>
  <si>
    <t xml:space="preserve">Edge walls (D-D): PCC 1:4:8, 3" x 2'-6"</t>
  </si>
  <si>
    <t xml:space="preserve">42.7 ft x 2'-6" x 3"</t>
  </si>
  <si>
    <t xml:space="preserve">42.71 x 2.5 x 0.25</t>
  </si>
  <si>
    <t xml:space="preserve">C6, C3</t>
  </si>
  <si>
    <t xml:space="preserve">4.8</t>
  </si>
  <si>
    <t xml:space="preserve">Edge walls: brick steps 22½" / 18" / 13½" (6" each) in 1:6</t>
  </si>
  <si>
    <t xml:space="preserve">42.7 ft</t>
  </si>
  <si>
    <t xml:space="preserve">42.71 x (1.875 + 1.5 + 1.125) x 0.5</t>
  </si>
  <si>
    <t xml:space="preserve">4.9</t>
  </si>
  <si>
    <t xml:space="preserve">Edge walls: 9" wall in 1:6 from step top (-2'-0") to +1'-1½" (under DPC)</t>
  </si>
  <si>
    <t xml:space="preserve">42.7 ft x 9" x 3'-1½"</t>
  </si>
  <si>
    <t xml:space="preserve">42.71 x 0.75 x 3.125</t>
  </si>
  <si>
    <t xml:space="preserve">C6, D1</t>
  </si>
  <si>
    <t xml:space="preserve">4.10</t>
  </si>
  <si>
    <t xml:space="preserve">Edge walls: DPC 1½" 1:2:4 with waterproofing compound + 2 coats hot bitumen, top at porch level</t>
  </si>
  <si>
    <t xml:space="preserve">42.7 ft x 9"</t>
  </si>
  <si>
    <t xml:space="preserve">42.71 x 0.75 x 0.125; bitumen 32.0 sft x 0.4 kg</t>
  </si>
  <si>
    <t xml:space="preserve">B4, C6</t>
  </si>
  <si>
    <t xml:space="preserve">S5</t>
  </si>
  <si>
    <t xml:space="preserve">Plinth beam and DPC</t>
  </si>
  <si>
    <t xml:space="preserve">5.1</t>
  </si>
  <si>
    <t xml:space="preserve">RCC plinth beam 9" x 9" (1:2:4) at floor level per sheet 05; 2 #4 top + 2 #4 bottom, #2 rings @ 10"</t>
  </si>
  <si>
    <t xml:space="preserve">plan 270.6 sft x 9"; centre-line 370.7 ft</t>
  </si>
  <si>
    <t xml:space="preserve">concrete 270.6 x 0.75; #4: 4 x (370.7 x 1.05 + 15 ends x 1'); rings (370.7 x 12/10 + 1) x 2'-4"</t>
  </si>
  <si>
    <t xml:space="preserve">B4</t>
  </si>
  <si>
    <t xml:space="preserve">Plinth beam</t>
  </si>
  <si>
    <t xml:space="preserve">5.2</t>
  </si>
  <si>
    <t xml:space="preserve">DPC: continuous 1½" 1:2:4 concrete with integral waterproofing compound, + 2 coats hot bitumen, on top of plinth beam; top of DPC = FFL</t>
  </si>
  <si>
    <t xml:space="preserve">plan 270.6 sft x 1½"</t>
  </si>
  <si>
    <t xml:space="preserve">270.6 x 0.125; bitumen 270.6 sft x 2 coats x 0.2 kg</t>
  </si>
  <si>
    <t xml:space="preserve">B4, B5</t>
  </si>
  <si>
    <t xml:space="preserve">5.3</t>
  </si>
  <si>
    <t xml:space="preserve">Outer plinth walls, fill side</t>
  </si>
  <si>
    <t xml:space="preserve">Vertical DPC: ¾" 1:3 plaster with waterproofing compound + 2 coats hot bitumen (0.2 kg/sft per coat)</t>
  </si>
  <si>
    <t xml:space="preserve">173.7 ft x 4'-1½" (NSL to top of sub-floor PCC)</t>
  </si>
  <si>
    <t xml:space="preserve">173.7 x 4.125 = 716 sft</t>
  </si>
  <si>
    <t xml:space="preserve">sft</t>
  </si>
  <si>
    <t xml:space="preserve">B6</t>
  </si>
  <si>
    <t xml:space="preserve">S6</t>
  </si>
  <si>
    <t xml:space="preserve">Filling and sub-floor</t>
  </si>
  <si>
    <t xml:space="preserve">6.1</t>
  </si>
  <si>
    <t xml:space="preserve">Back-filling of trenches with excavated earth, watered and rammed in 6" layers</t>
  </si>
  <si>
    <t xml:space="preserve">trench 2,550 cft less footing below NSL 1,408 cft</t>
  </si>
  <si>
    <t xml:space="preserve">2,550 - 1,408</t>
  </si>
  <si>
    <t xml:space="preserve">A3, A4</t>
  </si>
  <si>
    <t xml:space="preserve">BACKFILL</t>
  </si>
  <si>
    <t xml:space="preserve">6.2</t>
  </si>
  <si>
    <t xml:space="preserve">Inside house plinth</t>
  </si>
  <si>
    <t xml:space="preserve">Earth filling from NSL to underside of khangar (+1'-11½"), 6" layers watered and rammed</t>
  </si>
  <si>
    <t xml:space="preserve">1,363 sft x 3.458 ft</t>
  </si>
  <si>
    <t xml:space="preserve">1,362.6 x 3.458 x 1.20 compaction</t>
  </si>
  <si>
    <t xml:space="preserve">A3, A4, A5</t>
  </si>
  <si>
    <t xml:space="preserve">EFILL</t>
  </si>
  <si>
    <t xml:space="preserve">6.3</t>
  </si>
  <si>
    <t xml:space="preserve">Front car porch (full area)</t>
  </si>
  <si>
    <t xml:space="preserve">Earth filling from NSL to underside of porch khangar (+5½")</t>
  </si>
  <si>
    <t xml:space="preserve">308 sft (20'-0" x 16'-7½" less lobby notch) x 1.958 ft</t>
  </si>
  <si>
    <t xml:space="preserve">308.5 x 1.958 x 1.20</t>
  </si>
  <si>
    <t xml:space="preserve">A5</t>
  </si>
  <si>
    <t xml:space="preserve">6.4</t>
  </si>
  <si>
    <t xml:space="preserve">Rear car porch (full area)</t>
  </si>
  <si>
    <t xml:space="preserve">143 sft (16'-9½" x 8'-6") x 1.958 ft</t>
  </si>
  <si>
    <t xml:space="preserve">142.7 x 1.958 x 1.20</t>
  </si>
  <si>
    <t xml:space="preserve">6.5</t>
  </si>
  <si>
    <t xml:space="preserve">Hand-packed stone ballast (khangar) 4", 1½"-2½" crushed stone (capillary break)</t>
  </si>
  <si>
    <t xml:space="preserve">1,814 sft x 4"</t>
  </si>
  <si>
    <t xml:space="preserve">1,813.8 x 0.333 x 1.10 packing</t>
  </si>
  <si>
    <t xml:space="preserve">B2</t>
  </si>
  <si>
    <t xml:space="preserve">6.6</t>
  </si>
  <si>
    <t xml:space="preserve">Sand blinding 1" over khangar</t>
  </si>
  <si>
    <t xml:space="preserve">1,814 sft x 1"</t>
  </si>
  <si>
    <t xml:space="preserve">1,813.8 x 0.0833 x 1.25 (fills top voids)</t>
  </si>
  <si>
    <t xml:space="preserve">6.7</t>
  </si>
  <si>
    <t xml:space="preserve">Polythene sheet 0.2 mm (800 gauge) with 6" laps, turned up 4" against walls</t>
  </si>
  <si>
    <t xml:space="preserve">1,814 sft + turn-up 576 ft x 4"</t>
  </si>
  <si>
    <t xml:space="preserve">1,813.8 x 1.10 + 576 x 0.33 = 2,185 sft x 0.0171 kg/sft</t>
  </si>
  <si>
    <t xml:space="preserve">B2, B3</t>
  </si>
  <si>
    <t xml:space="preserve">6.8</t>
  </si>
  <si>
    <t xml:space="preserve">PCC 1:4:8, 3", sub-floor over polythene</t>
  </si>
  <si>
    <t xml:space="preserve">1,814 sft x 3"</t>
  </si>
  <si>
    <t xml:space="preserve">1,813.8 x 0.25</t>
  </si>
  <si>
    <t xml:space="preserve">6.9</t>
  </si>
  <si>
    <t xml:space="preserve">Whole site</t>
  </si>
  <si>
    <t xml:space="preserve">Earth (mitti) to buy for filling = fill required - surplus excavated earth re-used</t>
  </si>
  <si>
    <t xml:space="preserve">fill required 7,362 cft (loose); surplus excavation 2,542 cft bank x 1.25 = 3,177 cft loose</t>
  </si>
  <si>
    <t xml:space="preserve">7,362 - 3,177</t>
  </si>
  <si>
    <t xml:space="preserve">A4, A5</t>
  </si>
  <si>
    <t xml:space="preserve">S7</t>
  </si>
  <si>
    <t xml:space="preserve">Masonry</t>
  </si>
  <si>
    <t xml:space="preserve">7.1</t>
  </si>
  <si>
    <t xml:space="preserve">Ground floor</t>
  </si>
  <si>
    <t xml:space="preserve">Ground floor 9" walls in 1:6</t>
  </si>
  <si>
    <t xml:space="preserve">plan 193.5 sft x 11.00 ft</t>
  </si>
  <si>
    <t xml:space="preserve">gross 2,128 cft less openings 417, lintels 57, bed plates 5.1</t>
  </si>
  <si>
    <t xml:space="preserve">D1, D2</t>
  </si>
  <si>
    <t xml:space="preserve">7.2</t>
  </si>
  <si>
    <t xml:space="preserve">Ground floor 4½" walls in 1:4</t>
  </si>
  <si>
    <t xml:space="preserve">plan 38.8 sft x 11.00 ft</t>
  </si>
  <si>
    <t xml:space="preserve">gross 427 cft less openings 54, lintels 8</t>
  </si>
  <si>
    <t xml:space="preserve">7.3</t>
  </si>
  <si>
    <t xml:space="preserve">First floor</t>
  </si>
  <si>
    <t xml:space="preserve">First floor 9" walls in 1:6</t>
  </si>
  <si>
    <t xml:space="preserve">plan 174.8 sft x 11.54 ft</t>
  </si>
  <si>
    <t xml:space="preserve">gross 2,018 cft less openings 373, lintels 55, bed plates 6.8</t>
  </si>
  <si>
    <t xml:space="preserve">7.4</t>
  </si>
  <si>
    <t xml:space="preserve">First floor 4½" walls in 1:4</t>
  </si>
  <si>
    <t xml:space="preserve">plan 63.9 sft x 11.54 ft</t>
  </si>
  <si>
    <t xml:space="preserve">gross 738 cft less openings 92, lintels 13</t>
  </si>
  <si>
    <t xml:space="preserve">7.5</t>
  </si>
  <si>
    <t xml:space="preserve">Mumty (2nd floor)</t>
  </si>
  <si>
    <t xml:space="preserve">Mumty (2nd floor) 9" walls in 1:6</t>
  </si>
  <si>
    <t xml:space="preserve">plan 43.5 sft x 9.54 ft</t>
  </si>
  <si>
    <t xml:space="preserve">gross 415 cft less openings 51, lintels 9, bed plates 1.1</t>
  </si>
  <si>
    <t xml:space="preserve">7.6</t>
  </si>
  <si>
    <t xml:space="preserve">Mumty (2nd floor) 4½" walls in 1:4</t>
  </si>
  <si>
    <t xml:space="preserve">plan 24.9 sft x 9.54 ft</t>
  </si>
  <si>
    <t xml:space="preserve">gross 237 cft less openings 48, lintels 7</t>
  </si>
  <si>
    <t xml:space="preserve">7.7</t>
  </si>
  <si>
    <t xml:space="preserve">Terrace (first-floor roof)</t>
  </si>
  <si>
    <t xml:space="preserve">Terrace parapets on FF roof (4½", one 9" run) 125.6 ft x 3.04 ft high in 1:4</t>
  </si>
  <si>
    <t xml:space="preserve">115.8 ft (4½") + 9.8 ft (9") x 3.04 ft high (2'-6" above the finished terrace)</t>
  </si>
  <si>
    <t xml:space="preserve">(115.8 x 0.375 + 9.8 x 0.75) x 3.04 = 154.4 cft</t>
  </si>
  <si>
    <t xml:space="preserve">7.8</t>
  </si>
  <si>
    <t xml:space="preserve">Mumty roof</t>
  </si>
  <si>
    <t xml:space="preserve">Parapet on mumty roof 4½" 94.2 ft x 2.04 ft in 1:4</t>
  </si>
  <si>
    <t xml:space="preserve">94.2 ft x 4½" x 2.04 ft high (1'-6" above the finished roof)</t>
  </si>
  <si>
    <t xml:space="preserve">94.2 x 0.375 x 2.04 = 72.1 cft</t>
  </si>
  <si>
    <t xml:space="preserve">7.9</t>
  </si>
  <si>
    <t xml:space="preserve">Front elevation</t>
  </si>
  <si>
    <t xml:space="preserve">Elevation features allowance 5% of superstructure brickwork (frames, fins, piers, profile-light reveals, planters) in 1:4</t>
  </si>
  <si>
    <t xml:space="preserve">5% x walls + parapets</t>
  </si>
  <si>
    <t xml:space="preserve">D2</t>
  </si>
  <si>
    <t xml:space="preserve">S8</t>
  </si>
  <si>
    <t xml:space="preserve">RCC (superstructure)</t>
  </si>
  <si>
    <t xml:space="preserve">8.1</t>
  </si>
  <si>
    <t xml:space="preserve">RCC column 13½" x 13½" (1:1.5:3), 4 #6, #3 ties @ 6"</t>
  </si>
  <si>
    <t xml:space="preserve">13½" x 13½" x 16.50 ft (footing top -2'-9" to slab soffit +13'-9")</t>
  </si>
  <si>
    <t xml:space="preserve">#6: 4 x (16.5 + 2.5 lap/anchorage); ties (16.5 x 2 + 1) x 4'-0"</t>
  </si>
  <si>
    <t xml:space="preserve">C5, E1</t>
  </si>
  <si>
    <t xml:space="preserve">Column</t>
  </si>
  <si>
    <t xml:space="preserve">8.2</t>
  </si>
  <si>
    <t xml:space="preserve">Ground-floor roof</t>
  </si>
  <si>
    <t xml:space="preserve">Roof slab 5½" - GF roof: outline 1739.1 + porch cantilever 38.7 - stair opening 72.8 (1705.0 sft)</t>
  </si>
  <si>
    <t xml:space="preserve">1,705.0 sft x 5½" thick</t>
  </si>
  <si>
    <t xml:space="preserve">1,705.0 x 5.5/12 = 781.5 cft</t>
  </si>
  <si>
    <t xml:space="preserve">E1</t>
  </si>
  <si>
    <t xml:space="preserve">Slabs</t>
  </si>
  <si>
    <t xml:space="preserve">8.3</t>
  </si>
  <si>
    <t xml:space="preserve">First-floor roof</t>
  </si>
  <si>
    <t xml:space="preserve">Roof slab 5½" - FF roof: outline 1725.0 - stair opening 74.3 (excl. open shaft &amp; terrace) (1650.7 sft)</t>
  </si>
  <si>
    <t xml:space="preserve">1,650.7 sft x 5½" thick</t>
  </si>
  <si>
    <t xml:space="preserve">1,650.7 x 5.5/12 = 756.6 cft</t>
  </si>
  <si>
    <t xml:space="preserve">8.4</t>
  </si>
  <si>
    <t xml:space="preserve">Roof slab 5½" - Mumty roof: 16.85x7.75 + 17.63x12.63 (353.2 sft)</t>
  </si>
  <si>
    <t xml:space="preserve">353.2 sft x 5½" thick</t>
  </si>
  <si>
    <t xml:space="preserve">353.2 x 5.5/12 = 161.9 cft</t>
  </si>
  <si>
    <t xml:space="preserve">8.5</t>
  </si>
  <si>
    <t xml:space="preserve">CB-1 concealed beam 12" x 9½" in GF roof - 5 nos, 81.7 ft (4" upstand above slab; 3#6 bottom, 3#4 top, #3@7" rings)</t>
  </si>
  <si>
    <t xml:space="preserve">5 nos, total 81.7 ft; 12" x 9½" deep, 4" upstand above the 5½" slab (S-09)</t>
  </si>
  <si>
    <t xml:space="preserve">upstand 81.7 x 1.0 x 4" = 27.2 cft (rest is inside the slab); #6 + #4: 3 + 3 x (81.7 + 3 ft anchorage per beam) x 1.03; #3 rings (81.7 x 12/7 + 5) x 3.21 ft</t>
  </si>
  <si>
    <t xml:space="preserve">Concealed beams</t>
  </si>
  <si>
    <t xml:space="preserve">8.6</t>
  </si>
  <si>
    <t xml:space="preserve">CB-1 concealed beam 12" x 9½" in FF roof - 1 nos, 15.5 ft (4" upstand above slab; 3#6 bottom, 3#4 top, #3@7" rings)</t>
  </si>
  <si>
    <t xml:space="preserve">1 nos, total 15.5 ft; 12" x 9½" deep, 4" upstand above the 5½" slab (S-09)</t>
  </si>
  <si>
    <t xml:space="preserve">upstand 15.5 x 1.0 x 4" = 5.2 cft (rest is inside the slab); #6 + #4: 3 + 3 x (15.5 + 3 ft anchorage per beam) x 1.03; #3 rings (15.5 x 12/7 + 1) x 3.21 ft</t>
  </si>
  <si>
    <t xml:space="preserve">8.7</t>
  </si>
  <si>
    <t xml:space="preserve">CB-2 concealed beam 9" x 9½" in GF roof - 5 nos, 48.5 ft (4" upstand above slab; 2#6 top &amp; bottom, #3@6" rings)</t>
  </si>
  <si>
    <t xml:space="preserve">5 nos, total 48.5 ft; 9" x 9½" deep, 4" upstand above the 5½" slab (S-09)</t>
  </si>
  <si>
    <t xml:space="preserve">upstand 48.5 x 0.75 x 4" = 12.1 cft (rest is inside the slab); #6: 4 x (48.5 + 3 ft anchorage per beam) x 1.03; #3 rings (48.5 x 12/6 + 5) x 2.71 ft</t>
  </si>
  <si>
    <t xml:space="preserve">8.8</t>
  </si>
  <si>
    <t xml:space="preserve">CB-2 concealed beam 9" x 9½" in FF roof - 7 nos, 102.0 ft (4" upstand above slab; 2#6 top &amp; bottom, #3@6" rings)</t>
  </si>
  <si>
    <t xml:space="preserve">7 nos, total 102.0 ft; 9" x 9½" deep, 4" upstand above the 5½" slab (S-09)</t>
  </si>
  <si>
    <t xml:space="preserve">upstand 102.0 x 0.75 x 4" = 25.5 cft (rest is inside the slab); #6: 4 x (102.0 + 3 ft anchorage per beam) x 1.03; #3 rings (102.0 x 12/6 + 7) x 2.71 ft</t>
  </si>
  <si>
    <t xml:space="preserve">8.9</t>
  </si>
  <si>
    <t xml:space="preserve">CB-2 concealed beam 9" x 9½" in SF roof - 2 nos, 30.3 ft (4" upstand above slab; 2#6 top &amp; bottom, #3@6" rings)</t>
  </si>
  <si>
    <t xml:space="preserve">2 nos, total 30.3 ft; 9" x 9½" deep, 4" upstand above the 5½" slab (S-09)</t>
  </si>
  <si>
    <t xml:space="preserve">upstand 30.3 x 0.75 x 4" = 7.6 cft (rest is inside the slab); #6: 4 x (30.3 + 3 ft anchorage per beam) x 1.03; #3 rings (30.3 x 12/6 + 2) x 2.71 ft</t>
  </si>
  <si>
    <t xml:space="preserve">8.10</t>
  </si>
  <si>
    <t xml:space="preserve">Door/window/vent lintels GF - 23 nos (DL-1, DL-2, WL-1, WL-2, WL-3, VL-1 per S-05) - includes the 8'-0" DL-1 over the 6'-6" dining opening</t>
  </si>
  <si>
    <t xml:space="preserve">DL-1 7 nos / 39.6 ft; DL-2 7 nos / 28.6 ft; WL&amp;DL-1 1 nos / 9.4 ft; WL-1 4 nos / 29.8 ft; WL-2 1 nos / 10.3 ft; VL-1 3 nos / 12.0 ft</t>
  </si>
  <si>
    <t xml:space="preserve">sum of width x 9" x length = 64.9 cft; main bars n x (L + 6"), rings (L x 12/spacing + 1) x ring length (S-05)</t>
  </si>
  <si>
    <t xml:space="preserve">E1, E2</t>
  </si>
  <si>
    <t xml:space="preserve">Lintels</t>
  </si>
  <si>
    <t xml:space="preserve">8.11</t>
  </si>
  <si>
    <t xml:space="preserve">Door/window/vent lintels FF - 26 nos (DL-1, DL-2, WL-1, WL-2, WL-3, VL-1 per S-05)</t>
  </si>
  <si>
    <t xml:space="preserve">DL-1 7 nos / 34.0 ft; DL-2 6 nos / 25.9 ft; WL-1 5 nos / 41.8 ft; WL-2 1 nos / 10.3 ft; WL-3 4 nos / 20.8 ft; VL-1 3 nos / 12.0 ft</t>
  </si>
  <si>
    <t xml:space="preserve">sum of width x 9" x length = 68.3 cft; main bars n x (L + 6"), rings (L x 12/spacing + 1) x ring length (S-05)</t>
  </si>
  <si>
    <t xml:space="preserve">8.12</t>
  </si>
  <si>
    <t xml:space="preserve">Door/window/vent lintels SF - 9 nos (DL-1, DL-2, WL-1, WL-2, WL-3, VL-1 per S-05)</t>
  </si>
  <si>
    <t xml:space="preserve">DL-1 1 nos / 5.0 ft; DL-2 3 nos / 13.0 ft; WL-1 1 nos / 6.8 ft; WL-3 3 nos / 12.6 ft; VL-1 1 nos / 4.0 ft</t>
  </si>
  <si>
    <t xml:space="preserve">sum of width x 9" x length = 16.1 cft; main bars n x (L + 6"), rings (L x 12/spacing + 1) x ring length (S-05)</t>
  </si>
  <si>
    <t xml:space="preserve">8.13</t>
  </si>
  <si>
    <t xml:space="preserve">Bed plates 9" x 3'-0" x 3" (1:2:4, 3#4) under beam ends, GF roof - 9 nos</t>
  </si>
  <si>
    <t xml:space="preserve">9 nos x 9" x 3'-0" x 3"</t>
  </si>
  <si>
    <t xml:space="preserve">9 x 0.75 x 3.0 x 0.25 = 5.06 cft; #4: 9 x 3 bars x 2'-9"</t>
  </si>
  <si>
    <t xml:space="preserve">Bed plates</t>
  </si>
  <si>
    <t xml:space="preserve">8.14</t>
  </si>
  <si>
    <t xml:space="preserve">Bed plates 9" x 3'-0" x 3" (1:2:4, 3#4) under beam ends, FF roof - 12 nos</t>
  </si>
  <si>
    <t xml:space="preserve">12 nos x 9" x 3'-0" x 3"</t>
  </si>
  <si>
    <t xml:space="preserve">12 x 0.75 x 3.0 x 0.25 = 6.75 cft; #4: 12 x 3 bars x 2'-9"</t>
  </si>
  <si>
    <t xml:space="preserve">8.15</t>
  </si>
  <si>
    <t xml:space="preserve">Bed plates 9" x 3'-0" x 3" (1:2:4, 3#4) under beam ends, SF roof - 2 nos</t>
  </si>
  <si>
    <t xml:space="preserve">2 nos x 9" x 3'-0" x 3"</t>
  </si>
  <si>
    <t xml:space="preserve">2 x 0.75 x 3.0 x 0.25 = 1.12 cft; #4: 2 x 3 bars x 2'-9"</t>
  </si>
  <si>
    <t xml:space="preserve">8.16</t>
  </si>
  <si>
    <t xml:space="preserve">Zig-zag stair GF to FF: 6" waist (flights 11.65 + 9.59 ft), 6" landing 8'-3"x3'-6", 21 concrete steps; riser 6.57", tread 10½", width 3'-6"</t>
  </si>
  <si>
    <t xml:space="preserve">flights 11.65 + 9.59 ft (on slope) x 3'-6" x 6" waist; landing 8'-3" x 3'-6" x 6"; 21 steps 10½" x 6.57"</t>
  </si>
  <si>
    <t xml:space="preserve">waist 37.2 + landing 14.4 + steps 17.6 = 69.2 cft; #4 @ 5" main, #3 @ 9"/12" distribution (S-03)</t>
  </si>
  <si>
    <t xml:space="preserve">Stairs</t>
  </si>
  <si>
    <t xml:space="preserve">8.17</t>
  </si>
  <si>
    <t xml:space="preserve">Zig-zag stair FF to 2nd floor: 6" waist (flights 11.65 + 9.59 ft), 6" landing 8'-3"x3'-6", 21 concrete steps; riser 6.57", tread 10½", width 3'-6"</t>
  </si>
  <si>
    <t xml:space="preserve">8.18</t>
  </si>
  <si>
    <t xml:space="preserve">Stair</t>
  </si>
  <si>
    <t xml:space="preserve">Stair base footing + stem (8" slab, #4@6" both ways; stem #4@5")</t>
  </si>
  <si>
    <t xml:space="preserve">base 4'-6" x 3'-0" x 8" + stem 3'-6" x 2'-0" x 6"</t>
  </si>
  <si>
    <t xml:space="preserve">4.5 x 3.0 x 0.667 + 3.5 x 2.0 x 0.5 = 12.5 cft; #4: 180.75 ft</t>
  </si>
  <si>
    <t xml:space="preserve">8.19</t>
  </si>
  <si>
    <t xml:space="preserve">P.C.C 1:4:8 under stair footing</t>
  </si>
  <si>
    <t xml:space="preserve">5'-0" x 3'-6" x 3"</t>
  </si>
  <si>
    <t xml:space="preserve">5.0 x 3.5 x 0.25 = 4.38 cft</t>
  </si>
  <si>
    <t xml:space="preserve">8.20</t>
  </si>
  <si>
    <t xml:space="preserve">R.C.C sunshade (chajja) GF: 12.5 ft long x 1'-3" projection, 4"-3" thick, #3@6" main</t>
  </si>
  <si>
    <t xml:space="preserve">12.5 ft x 1'-3" x 4" (tapering to 3")</t>
  </si>
  <si>
    <t xml:space="preserve">12.5 x 1.25 x 0.333 = 5.21 cft; #3 @ 6" x 2'-9" + 3 distribution bars</t>
  </si>
  <si>
    <t xml:space="preserve">Chajjas</t>
  </si>
  <si>
    <t xml:space="preserve">8.21</t>
  </si>
  <si>
    <t xml:space="preserve">R.C.C sunshade (chajja) FF: 8.0 ft long x 1'-3" projection, 4"-3" thick, #3@6" main</t>
  </si>
  <si>
    <t xml:space="preserve">8.0 ft x 1'-3" x 4" (tapering to 3")</t>
  </si>
  <si>
    <t xml:space="preserve">8.0 x 1.25 x 0.333 = 3.33 cft; #3 @ 6" x 2'-9" + 3 distribution bars</t>
  </si>
  <si>
    <t xml:space="preserve">8.22</t>
  </si>
  <si>
    <t xml:space="preserve">R.C.C sunshade (chajja) SF: 6.0 ft long x 1'-3" projection, 4"-3" thick, #3@6" main</t>
  </si>
  <si>
    <t xml:space="preserve">6.0 ft x 1'-3" x 4" (tapering to 3")</t>
  </si>
  <si>
    <t xml:space="preserve">6.0 x 1.25 x 0.333 = 2.50 cft; #3 @ 6" x 2'-9" + 3 distribution bars</t>
  </si>
  <si>
    <t xml:space="preserve">8.23</t>
  </si>
  <si>
    <t xml:space="preserve">Provisional: front elevation canopy / RCC fins &amp; projections</t>
  </si>
  <si>
    <t xml:space="preserve">provisional allowance (front canopy, fins and projections on the 3D views)</t>
  </si>
  <si>
    <t xml:space="preserve">20 cft concrete + 150 ft of #3</t>
  </si>
  <si>
    <t xml:space="preserve">Elevation RCC</t>
  </si>
  <si>
    <t xml:space="preserve">8.24</t>
  </si>
  <si>
    <t xml:space="preserve">All parapets</t>
  </si>
  <si>
    <t xml:space="preserve">Parapet coping 3" x 9" (1:2:4) with 2#3</t>
  </si>
  <si>
    <t xml:space="preserve">terrace 125.6 ft + mumty 94.2 ft = 219.8 ft x 9" x 3"</t>
  </si>
  <si>
    <t xml:space="preserve">219.8 x 0.75 x 0.25 = 41.2 cft; #3: 2 x 219.8 x 1.05</t>
  </si>
  <si>
    <t xml:space="preserve">Coping</t>
  </si>
  <si>
    <t xml:space="preserve">8.25</t>
  </si>
  <si>
    <t xml:space="preserve">Slab steel GF roof (44 bar sets incl. cranked, extra top, trimmer 2#6/2#4 &amp; chairs) - 0.84 kg/sft</t>
  </si>
  <si>
    <t xml:space="preserve">1,705.0 sft of slab; every bar set on S-06 (bar size, spacing, width covered, bar length)</t>
  </si>
  <si>
    <t xml:space="preserve">bars = width x 12 / spacing + 1; length + 0.6 ft (cranked) or + 0.3 ft (extra top); trimmers; chairs 1.5 ft per 12 sft = 1,435.4 kg</t>
  </si>
  <si>
    <t xml:space="preserve">E1, E4</t>
  </si>
  <si>
    <t xml:space="preserve">8.26</t>
  </si>
  <si>
    <t xml:space="preserve">Slab steel FF roof (40 bar sets incl. cranked, extra top, trimmer 2#6/2#4 &amp; chairs) - 0.88 kg/sft</t>
  </si>
  <si>
    <t xml:space="preserve">1,650.7 sft of slab; every bar set on S-07 (bar size, spacing, width covered, bar length)</t>
  </si>
  <si>
    <t xml:space="preserve">bars = width x 12 / spacing + 1; length + 0.6 ft (cranked) or + 0.3 ft (extra top); trimmers; chairs 1.5 ft per 12 sft = 1,446.9 kg</t>
  </si>
  <si>
    <t xml:space="preserve">8.27</t>
  </si>
  <si>
    <t xml:space="preserve">Slab steel SF roof (11 bar sets incl. cranked, extra top, trimmer 2#6/2#4 &amp; chairs) - 0.73 kg/sft</t>
  </si>
  <si>
    <t xml:space="preserve">353.2 sft of slab; every bar set on S-08 (bar size, spacing, width covered, bar length)</t>
  </si>
  <si>
    <t xml:space="preserve">bars = width x 12 / spacing + 1; length + 0.6 ft (cranked) or + 0.3 ft (extra top); trimmers; chairs 1.5 ft per 12 sft = 259.0 kg</t>
  </si>
  <si>
    <t xml:space="preserve">8.28</t>
  </si>
  <si>
    <t xml:space="preserve">3 first-floor baths + mumty bath</t>
  </si>
  <si>
    <t xml:space="preserve">Sunken slab 6": extra concrete (1:2:4) and steel at the drop (U-bars #3 @ 9" + 2 #3 along each edge)</t>
  </si>
  <si>
    <t xml:space="preserve">baths 191 sft, perimeter 111.2 ft; drop 6" x slab 5½"</t>
  </si>
  <si>
    <t xml:space="preserve">concrete 111.2 x 0.5 x 0.458; #3: 111.2 x 12/9 x 2.5 + 2 x 111.2</t>
  </si>
  <si>
    <t xml:space="preserve">E3</t>
  </si>
  <si>
    <t xml:space="preserve">Sunken slabs</t>
  </si>
  <si>
    <t xml:space="preserve">8.29</t>
  </si>
  <si>
    <t xml:space="preserve">Waterproof coating in sunk areas: polymer-modified cementitious, 2 coats (~1.5 kg/m2 per coat)</t>
  </si>
  <si>
    <t xml:space="preserve">floor 191 sft + sides 111.2 ft x 6"</t>
  </si>
  <si>
    <t xml:space="preserve">247 sft = 22.9 m2 x 3.0 kg</t>
  </si>
  <si>
    <t xml:space="preserve">8.30</t>
  </si>
  <si>
    <t xml:space="preserve">Lightweight filling in sunk areas: brick-bat coba (broken bricks in 1:6 mortar), 9" deep to underside of floor finish</t>
  </si>
  <si>
    <t xml:space="preserve">191 sft x 9" (6" drop + 3" floor base)</t>
  </si>
  <si>
    <t xml:space="preserve">143 cft: bats 0.70 cft/cft (9.5 bricks), 1:6 mortar 0.30 cft/cft</t>
  </si>
  <si>
    <t xml:space="preserve">8.31</t>
  </si>
  <si>
    <t xml:space="preserve">First floor + mumty floor</t>
  </si>
  <si>
    <t xml:space="preserve">Floor sub-base: 3" PCC 1:4:8 over first-floor and mumty floors (levels the 4" beam upstands, covers conduits), excluding sunken baths</t>
  </si>
  <si>
    <t xml:space="preserve">1,554 sft x 3"</t>
  </si>
  <si>
    <t xml:space="preserve">(1,705 - 245 walls - 165 baths) + (353 - 68 walls - 26 bath) = 1,554 sft</t>
  </si>
  <si>
    <t xml:space="preserve">D2 (Rev 0 assumption kept), E3</t>
  </si>
  <si>
    <t xml:space="preserve">S9</t>
  </si>
  <si>
    <t xml:space="preserve">Roof waterproofing and tiles</t>
  </si>
  <si>
    <t xml:space="preserve">9.1</t>
  </si>
  <si>
    <t xml:space="preserve">Terrace, mumty roof, first-floor front balcony</t>
  </si>
  <si>
    <t xml:space="preserve">Slope screed 1:4 cement-sand at 1:100 to the drawn rain-water outlets, min ¾" at outlets</t>
  </si>
  <si>
    <t xml:space="preserve">terrace 1,302 sft (avg 2.9", max 5.4"); mumty 319 sft (avg 2.7", max 4.9"); balcony 38 sft (avg 1½")</t>
  </si>
  <si>
    <t xml:space="preserve">grid calculation of screed thickness by outlet catchment = 393.3 cft</t>
  </si>
  <si>
    <t xml:space="preserve">F3</t>
  </si>
  <si>
    <t xml:space="preserve">9.2</t>
  </si>
  <si>
    <t xml:space="preserve">Terrace, mumty roof, balcony</t>
  </si>
  <si>
    <t xml:space="preserve">Bitumen primer, ~0.3 L/m2</t>
  </si>
  <si>
    <t xml:space="preserve">1,659 sft roof + upturns</t>
  </si>
  <si>
    <t xml:space="preserve">2,256 sft = 209.6 m2 x 0.3 L</t>
  </si>
  <si>
    <t xml:space="preserve">9.3</t>
  </si>
  <si>
    <t xml:space="preserve">4 mm torch-applied modified-bitumen membrane, 4" laps, turned 12" up parapets and mumty walls into a groove, dressed round solar plinths and tank platform</t>
  </si>
  <si>
    <t xml:space="preserve">roof 1,659 sft; upturns 276 ft x 12"; 34 plinths; tank platform</t>
  </si>
  <si>
    <t xml:space="preserve">1,659 x 1.10 + 276 x 1.10 + 34 x 5 ft x 8" + platform = 2,256 sft = 209.6 m2</t>
  </si>
  <si>
    <t xml:space="preserve">F3, J3</t>
  </si>
  <si>
    <t xml:space="preserve">9.4</t>
  </si>
  <si>
    <t xml:space="preserve">LPG for torching membrane (~0.4 kg per m2)</t>
  </si>
  <si>
    <t xml:space="preserve">209.6 m2 x 0.4 kg</t>
  </si>
  <si>
    <t xml:space="preserve">9.5</t>
  </si>
  <si>
    <t xml:space="preserve">All parapet and mumty-wall junctions</t>
  </si>
  <si>
    <t xml:space="preserve">Cement fillet (gola) 4" x 4" in 1:3 at every parapet / wall junction</t>
  </si>
  <si>
    <t xml:space="preserve">276 ft</t>
  </si>
  <si>
    <t xml:space="preserve">276 x 0.0556 cft/ft</t>
  </si>
  <si>
    <t xml:space="preserve">9.6</t>
  </si>
  <si>
    <t xml:space="preserve">Bhatta tiles 9" x 4½" x 1½" laid in 1:4 mortar (¾" bed), joints filled</t>
  </si>
  <si>
    <t xml:space="preserve">1,581 sft (less plinths and tank platform)</t>
  </si>
  <si>
    <t xml:space="preserve">tiles 1,581 x 3.15/sft; mortar bed 1,581 x 0.0625 + joints = 121.3 cft</t>
  </si>
  <si>
    <t xml:space="preserve">S10</t>
  </si>
  <si>
    <t xml:space="preserve">Chicken mesh and plaster</t>
  </si>
  <si>
    <t xml:space="preserve">10.1</t>
  </si>
  <si>
    <t xml:space="preserve">All brick / RCC junctions, both faces</t>
  </si>
  <si>
    <t xml:space="preserve">Galvanised chicken mesh strips 12" wide over every brick/RCC junction (slab edges, lintels, plinth beam, coping, chajjas, column, stairs)</t>
  </si>
  <si>
    <t xml:space="preserve">slab edges 2 x 889 ft; lintels 2 x 316 ft; plinth beam 174; coping 2 x 220; chajjas 26.5; column 22; stairs 59</t>
  </si>
  <si>
    <t xml:space="preserve">3,131 rft of 12" strip (3 strips per 3-ft-wide roll = 300 rft/roll)</t>
  </si>
  <si>
    <t xml:space="preserve">rft</t>
  </si>
  <si>
    <t xml:space="preserve">D3</t>
  </si>
  <si>
    <t xml:space="preserve">10.2</t>
  </si>
  <si>
    <t xml:space="preserve">All concealed conduit and pipe chases</t>
  </si>
  <si>
    <t xml:space="preserve">Galvanised chicken mesh strips 9" wide over every concealed chase</t>
  </si>
  <si>
    <t xml:space="preserve">electrical chases 909 rft; plumbing / gas / AC-drain chases 896 rft</t>
  </si>
  <si>
    <t xml:space="preserve">1,805 rft of 9" strip (4 strips per roll = 400 rft/roll)</t>
  </si>
  <si>
    <t xml:space="preserve">10.3</t>
  </si>
  <si>
    <t xml:space="preserve">Internal plaster ½" 1:4 on all walls</t>
  </si>
  <si>
    <t xml:space="preserve">walls 361.6 ft x 2 faces x 11.00 ft = 7,955 sft</t>
  </si>
  <si>
    <t xml:space="preserve">less outer faces 1,467 and property-line faces 443 = 6,044; less openings 982; plus 0.6 x reveals 285 = 5,234 sft</t>
  </si>
  <si>
    <t xml:space="preserve">F1, F2</t>
  </si>
  <si>
    <t xml:space="preserve">10.4</t>
  </si>
  <si>
    <t xml:space="preserve">walls 403.6 ft x 2 faces x 11.54 ft = 9,316 sft</t>
  </si>
  <si>
    <t xml:space="preserve">less outer faces 1,639 and property-line faces 416 = 7,262; less openings 1,038; plus 0.6 x reveals 282 = 6,393 sft</t>
  </si>
  <si>
    <t xml:space="preserve">10.5</t>
  </si>
  <si>
    <t xml:space="preserve">Mumty</t>
  </si>
  <si>
    <t xml:space="preserve">walls 124.2 ft x 2 faces x 9.54 ft = 2,371 sft</t>
  </si>
  <si>
    <t xml:space="preserve">less outer faces 779 and property-line faces 121 = 1,472; less openings 265; plus 0.6 x reveals 76 = 1,252 sft</t>
  </si>
  <si>
    <t xml:space="preserve">10.6</t>
  </si>
  <si>
    <t xml:space="preserve">External plaster ¾" 1:4 on outer faces incl. exposed plinth</t>
  </si>
  <si>
    <t xml:space="preserve">outer walls 133.4 ft x 11.00 ft = 1,467 sft + exposed plinth 133.4 ft x 2'-0" (outside levels now +1'-0" to +1'-3"; was 3'-3")</t>
  </si>
  <si>
    <t xml:space="preserve">less openings 420; plus 0.4 x reveals 285; plus plinth 266.8 = 1,428 sft</t>
  </si>
  <si>
    <t xml:space="preserve">10.7</t>
  </si>
  <si>
    <t xml:space="preserve">External plaster ¾" 1:4 on outer faces</t>
  </si>
  <si>
    <t xml:space="preserve">outer walls 142.0 ft x 11.54 ft = 1,639 sft</t>
  </si>
  <si>
    <t xml:space="preserve">less openings 448; plus 0.4 x reveals 282 = 1,304 sft</t>
  </si>
  <si>
    <t xml:space="preserve">10.8</t>
  </si>
  <si>
    <t xml:space="preserve">outer walls 81.6 ft x 9.54 ft = 779 sft</t>
  </si>
  <si>
    <t xml:space="preserve">less openings 129; plus 0.4 x reveals 76 = 680 sft</t>
  </si>
  <si>
    <t xml:space="preserve">10.9</t>
  </si>
  <si>
    <t xml:space="preserve">Terrace and mumty parapets</t>
  </si>
  <si>
    <t xml:space="preserve">Parapet plaster ¾" 1:4, both faces and top</t>
  </si>
  <si>
    <t xml:space="preserve">terrace 125.6 ft x (2 x 3.04 + 0.75) + mumty 94.2 ft x (2 x 2.04 + 0.75)</t>
  </si>
  <si>
    <t xml:space="preserve">858 + 455 = 1,314 sft</t>
  </si>
  <si>
    <t xml:space="preserve">F1</t>
  </si>
  <si>
    <t xml:space="preserve">10.10</t>
  </si>
  <si>
    <t xml:space="preserve">Car-porch slab, entrance canopy, chajjas, stair over rear porch</t>
  </si>
  <si>
    <t xml:space="preserve">External soffit plaster ⅜" 1:3 (separate line - can be deleted)</t>
  </si>
  <si>
    <t xml:space="preserve">porch 102 + canopy 39 + entrance 33 + chajjas 33 + stair 34 sft</t>
  </si>
  <si>
    <t xml:space="preserve">241 sft</t>
  </si>
  <si>
    <t xml:space="preserve">S11</t>
  </si>
  <si>
    <t xml:space="preserve">Sewerage and drainage</t>
  </si>
  <si>
    <t xml:space="preserve">11.1</t>
  </si>
  <si>
    <t xml:space="preserve">Manholes (9 nos, sheet 17)</t>
  </si>
  <si>
    <t xml:space="preserve">Manholes / inspection chambers - 9 nos 2'x2' internal, avg 3'-6" deep: excavation</t>
  </si>
  <si>
    <t xml:space="preserve">9 nos x 4'-6" x 4'-6" x 4'-3" deep (2'-0" inside + 9" walls + 6" working space each side)</t>
  </si>
  <si>
    <t xml:space="preserve">9 x 4.5 x 4.5 x 4.25 = 774.6 cft</t>
  </si>
  <si>
    <t xml:space="preserve">H2</t>
  </si>
  <si>
    <t xml:space="preserve">Manholes</t>
  </si>
  <si>
    <t xml:space="preserve">11.2</t>
  </si>
  <si>
    <t xml:space="preserve">Manholes: P.C.C 1:4:8 4" base</t>
  </si>
  <si>
    <t xml:space="preserve">9 nos x 3'-6" x 3'-6" x 4"</t>
  </si>
  <si>
    <t xml:space="preserve">9 x 3.5 x 3.5 x 0.333 = 36.7 cft</t>
  </si>
  <si>
    <t xml:space="preserve">11.3</t>
  </si>
  <si>
    <t xml:space="preserve">Manholes: 9" brick walls 1:4</t>
  </si>
  <si>
    <t xml:space="preserve">9 nos, 2'-0" x 2'-0" inside, 9" walls, average 3'-6" deep; centre-line 4 x 2'-9" = 11 ft</t>
  </si>
  <si>
    <t xml:space="preserve">9 x 11 x 0.75 x 3.5 = 259.9 cft (Rev 0 took 9 x 11 x 3.5 = 346.5, missing the 9" thickness - corrected)</t>
  </si>
  <si>
    <t xml:space="preserve">11.4</t>
  </si>
  <si>
    <t xml:space="preserve">Manholes: benching/channels 1:2:4</t>
  </si>
  <si>
    <t xml:space="preserve">9 nos x 1.5 cft (benching and half-round channels)</t>
  </si>
  <si>
    <t xml:space="preserve">9 x 1.5 = 13.5 cft</t>
  </si>
  <si>
    <t xml:space="preserve">11.5</t>
  </si>
  <si>
    <t xml:space="preserve">Manholes: inside plaster ½" 1:3</t>
  </si>
  <si>
    <t xml:space="preserve">9 nos x (4 walls x 2'-0" x 3'-6" + benching 4 sft)</t>
  </si>
  <si>
    <t xml:space="preserve">9 x 32 = 288.0 sft</t>
  </si>
  <si>
    <t xml:space="preserve">11.6</t>
  </si>
  <si>
    <t xml:space="preserve">Back-filling around manholes with excavated earth</t>
  </si>
  <si>
    <t xml:space="preserve">775 - 9 x 3.5 x 3.5 x 3.0</t>
  </si>
  <si>
    <t xml:space="preserve">11.7</t>
  </si>
  <si>
    <t xml:space="preserve">7 manholes in passages and lawn</t>
  </si>
  <si>
    <t xml:space="preserve">RCC cover slabs 3" (1:2:4), #3 @ 6" both ways</t>
  </si>
  <si>
    <t xml:space="preserve">7 x 2'-9" x 2'-9" x 3"</t>
  </si>
  <si>
    <t xml:space="preserve">7 x 2.75 x 2.75 x 0.25; #3: 7 x 35 ft</t>
  </si>
  <si>
    <t xml:space="preserve">Manhole covers</t>
  </si>
  <si>
    <t xml:space="preserve">11.8</t>
  </si>
  <si>
    <t xml:space="preserve">Manholes in front and rear car porches</t>
  </si>
  <si>
    <t xml:space="preserve">Heavy-duty cast-iron manhole cover with frame, 20" x 20"</t>
  </si>
  <si>
    <t xml:space="preserve">2 nos</t>
  </si>
  <si>
    <t xml:space="preserve">2</t>
  </si>
  <si>
    <t xml:space="preserve">11.9</t>
  </si>
  <si>
    <t xml:space="preserve">House, passages, roofs</t>
  </si>
  <si>
    <t xml:space="preserve">Sewerage (UPVC) 5": Main sewer: rear manholes -&gt; side passage -&gt; septic tank -&gt; road sewer; car-porch MH -&gt; septic tank</t>
  </si>
  <si>
    <t xml:space="preserve">measured on sewerage drawing (GF 135.9 ft) + 20 ft street connection</t>
  </si>
  <si>
    <t xml:space="preserve">11.10</t>
  </si>
  <si>
    <t xml:space="preserve">Sewerage (UPVC) 4": WC connections GF/FF/2F (horizontal 47.8 ft) + soil stacks 3x13 ft (FF), 1x25 ft (2F) + 4 vent pipes x 4 ft</t>
  </si>
  <si>
    <t xml:space="preserve">measured + vertical stacks</t>
  </si>
  <si>
    <t xml:space="preserve">11.11</t>
  </si>
  <si>
    <t xml:space="preserve">Sewerage (UPVC) 3": Floor traps, basins, showers, sinks (horizontal 116.1 ft) + waste stacks 4x13 ft + 2x25 ft</t>
  </si>
  <si>
    <t xml:space="preserve">11.12</t>
  </si>
  <si>
    <t xml:space="preserve">Rain water (UPVC) 3": 4 rain-water down pipes in 9"x6" ducts (38+29+29+16 ft)</t>
  </si>
  <si>
    <t xml:space="preserve">roof sumps on roof plans</t>
  </si>
  <si>
    <t xml:space="preserve">11.13</t>
  </si>
  <si>
    <t xml:space="preserve">Sewer / rain-water system</t>
  </si>
  <si>
    <t xml:space="preserve">UPVC fittings: 5" (bends 8, Y-tees 6, sockets 9); 4" (WC connectors 8, bends 20, Y-tees 10, sockets 8, vent cowls 4, clean-outs 4); 3" (floor traps 14, gully traps 3, bends 40, Y-tees 20, sockets 15, roof outlets 4, RWP shoes 4)</t>
  </si>
  <si>
    <t xml:space="preserve">counts from sanitary and sewerage sheets</t>
  </si>
  <si>
    <t xml:space="preserve">11.14</t>
  </si>
  <si>
    <t xml:space="preserve">10 A.C points to nearest washroom floor trap</t>
  </si>
  <si>
    <t xml:space="preserve">A.C condensate drains ¾" (20 mm) PVC, concealed; stainless-steel mesh cap on each outlet</t>
  </si>
  <si>
    <t xml:space="preserve">10 x ~20 ft</t>
  </si>
  <si>
    <t xml:space="preserve">200 ft; 10 caps</t>
  </si>
  <si>
    <t xml:space="preserve">H3, J1</t>
  </si>
  <si>
    <t xml:space="preserve">S12</t>
  </si>
  <si>
    <t xml:space="preserve">Septic tank</t>
  </si>
  <si>
    <t xml:space="preserve">12.1</t>
  </si>
  <si>
    <t xml:space="preserve">Front lawn (sheet 17 position)</t>
  </si>
  <si>
    <t xml:space="preserve">Excavation for septic tank, 1'-0" working space each side</t>
  </si>
  <si>
    <t xml:space="preserve">pit 9.33 x 7.92 x 3'-6" below NSL</t>
  </si>
  <si>
    <t xml:space="preserve">(9.33 x 7.92) x 3.5</t>
  </si>
  <si>
    <t xml:space="preserve">H1</t>
  </si>
  <si>
    <t xml:space="preserve">12.2</t>
  </si>
  <si>
    <t xml:space="preserve">PCC 1:4:8, 3", under base</t>
  </si>
  <si>
    <t xml:space="preserve">7.33 x 5.92 x 3"</t>
  </si>
  <si>
    <t xml:space="preserve">12.3</t>
  </si>
  <si>
    <t xml:space="preserve">RCC base 6" (1:2:4), #3 @ 6" both ways</t>
  </si>
  <si>
    <t xml:space="preserve">6.83 x 5.42 x 6"</t>
  </si>
  <si>
    <t xml:space="preserve">#3: (%d + %d) bars x length</t>
  </si>
  <si>
    <t xml:space="preserve">12.4</t>
  </si>
  <si>
    <t xml:space="preserve">9" brick walls in 1:4 (5'-0" high) + two 4½" baffle walls (4'-6" high) forming THREE chambers</t>
  </si>
  <si>
    <t xml:space="preserve">internal 4'-10" x 3'-5", depth 5'-0" (4'-0" liquid + 1'-0" freeboard)</t>
  </si>
  <si>
    <t xml:space="preserve">walls 2 x (5.58 + 4.17) x 0.75 x 5.0 + baffles 2 x 3.42 x 0.375 x 4.5</t>
  </si>
  <si>
    <t xml:space="preserve">12.5</t>
  </si>
  <si>
    <t xml:space="preserve">RCC top slab 5" (1:2:4) with two 1'-9" x 1'-9" openings, #3 @ 6" both ways + trimmers</t>
  </si>
  <si>
    <t xml:space="preserve">6.33 x 4.92 x 5"</t>
  </si>
  <si>
    <t xml:space="preserve">12.6</t>
  </si>
  <si>
    <t xml:space="preserve">Two RCC covers 2'-0" x 2'-0" x 3" (1:2:4) with lifting hooks</t>
  </si>
  <si>
    <t xml:space="preserve">12.7</t>
  </si>
  <si>
    <t xml:space="preserve">¾" 1:3 waterproof plaster (with waterproofing compound) inside and outside</t>
  </si>
  <si>
    <t xml:space="preserve">inside walls + floor + baffles 161 sft; outside 112 sft</t>
  </si>
  <si>
    <t xml:space="preserve">12.8</t>
  </si>
  <si>
    <t xml:space="preserve">T-pipe inlet and outlet (5" UPVC tees with 2 ft pipe each) and 3" vent pipe 12 ft with cowl</t>
  </si>
  <si>
    <t xml:space="preserve">2 tees 5" + 2 x 2 ft of 5" pipe; vent 3" x 12 ft + cowl</t>
  </si>
  <si>
    <t xml:space="preserve">counted</t>
  </si>
  <si>
    <t xml:space="preserve">set</t>
  </si>
  <si>
    <t xml:space="preserve">12.9</t>
  </si>
  <si>
    <t xml:space="preserve">Back-filling around tank with excavated earth</t>
  </si>
  <si>
    <t xml:space="preserve">259 - 115 (tank below NSL)</t>
  </si>
  <si>
    <t xml:space="preserve">S13</t>
  </si>
  <si>
    <t xml:space="preserve">Water tanks, water and gas pipes</t>
  </si>
  <si>
    <t xml:space="preserve">13.1</t>
  </si>
  <si>
    <t xml:space="preserve">Rear car porch (back of house)</t>
  </si>
  <si>
    <t xml:space="preserve">Excavation for underground water tank, 1'-0" working space each side</t>
  </si>
  <si>
    <t xml:space="preserve">pit 8.83 x 7.42 x 3'-4" below NSL</t>
  </si>
  <si>
    <t xml:space="preserve">I1</t>
  </si>
  <si>
    <t xml:space="preserve">13.2</t>
  </si>
  <si>
    <t xml:space="preserve">Underground water tank</t>
  </si>
  <si>
    <t xml:space="preserve">6.83 x 5.42 x 3"</t>
  </si>
  <si>
    <t xml:space="preserve">I2</t>
  </si>
  <si>
    <t xml:space="preserve">13.3</t>
  </si>
  <si>
    <t xml:space="preserve">RCC base 6" (1:1.5:3) with integral waterproofing admixture, #3 @ 6" both ways</t>
  </si>
  <si>
    <t xml:space="preserve">6.33 x 4.92 x 6"</t>
  </si>
  <si>
    <t xml:space="preserve">Water tank</t>
  </si>
  <si>
    <t xml:space="preserve">13.4</t>
  </si>
  <si>
    <t xml:space="preserve">RCC walls 6" (1:1.5:3) with integral waterproofing admixture, #3 @ 6" both ways (one central mesh)</t>
  </si>
  <si>
    <t xml:space="preserve">centre-line 18.5 ft x 6" x 5.5 ft</t>
  </si>
  <si>
    <t xml:space="preserve">#3: verticals 38 x 7.0 + horizontals 12 x 20.5</t>
  </si>
  <si>
    <t xml:space="preserve">13.5</t>
  </si>
  <si>
    <t xml:space="preserve">RCC top slab 5" (1:1.5:3) with one 1'-9" x 1'-9" opening; top 7" above porch level</t>
  </si>
  <si>
    <t xml:space="preserve">5.83 x 4.42 x 5"</t>
  </si>
  <si>
    <t xml:space="preserve">13.6</t>
  </si>
  <si>
    <t xml:space="preserve">PVC water-stop 6" (150 mm) at base-to-wall joint</t>
  </si>
  <si>
    <t xml:space="preserve">18.5 ft + laps</t>
  </si>
  <si>
    <t xml:space="preserve">13.7</t>
  </si>
  <si>
    <t xml:space="preserve">Food-safe cementitious waterproof coating inside (walls, floor, soffit), 2 coats ~1.5 kg/m2 each</t>
  </si>
  <si>
    <t xml:space="preserve">124 sft</t>
  </si>
  <si>
    <t xml:space="preserve">11.5 m2 x 3.0 kg</t>
  </si>
  <si>
    <t xml:space="preserve">13.8</t>
  </si>
  <si>
    <t xml:space="preserve">Hot bitumen coat on outside of walls below ground (1 coat, 0.2 kg/sft)</t>
  </si>
  <si>
    <t xml:space="preserve">111 sft</t>
  </si>
  <si>
    <t xml:space="preserve">13.9</t>
  </si>
  <si>
    <t xml:space="preserve">Lockable steel / CI manhole cover with frame, 2'-0" x 2'-0"</t>
  </si>
  <si>
    <t xml:space="preserve">1 no</t>
  </si>
  <si>
    <t xml:space="preserve">13.10</t>
  </si>
  <si>
    <t xml:space="preserve">218 - 91</t>
  </si>
  <si>
    <t xml:space="preserve">13.11</t>
  </si>
  <si>
    <t xml:space="preserve">Mumty roof, rear-right corner (sheet 24)</t>
  </si>
  <si>
    <t xml:space="preserve">Plastic roof tank platform: RCC slab 5'-0" x 5'-0" x 4" (1:2:4), #3 @ 6" both ways, cast before membrane</t>
  </si>
  <si>
    <t xml:space="preserve">5' x 5' x 4"</t>
  </si>
  <si>
    <t xml:space="preserve">I4</t>
  </si>
  <si>
    <t xml:space="preserve">Tank platform</t>
  </si>
  <si>
    <t xml:space="preserve">13.12</t>
  </si>
  <si>
    <t xml:space="preserve">Platform supports: two 9" brick walls 1'-6" high in 1:4, placed directly over the mumty walls below</t>
  </si>
  <si>
    <t xml:space="preserve">2 x 5'-0" x 9" x 1'-6"</t>
  </si>
  <si>
    <t xml:space="preserve">13.13</t>
  </si>
  <si>
    <t xml:space="preserve">Plaster ¾" 1:4 on platform walls and slab edges</t>
  </si>
  <si>
    <t xml:space="preserve">2 walls x 2 faces x 5'-0" x 1'-6" + slab edges 2 x 5'-0" x 4"</t>
  </si>
  <si>
    <t xml:space="preserve">2 x 2 x 5.0 x 1.5 + 2 x 5.0 x 0.33 = 33.3 sft</t>
  </si>
  <si>
    <t xml:space="preserve">13.14</t>
  </si>
  <si>
    <t xml:space="preserve">House</t>
  </si>
  <si>
    <t xml:space="preserve">Cold water PPR 1¼" PN-16: tank down-take</t>
  </si>
  <si>
    <t xml:space="preserve">measured on sheets 21-24 + risers (Rev 0), updated for pump at back</t>
  </si>
  <si>
    <t xml:space="preserve">I3, I5</t>
  </si>
  <si>
    <t xml:space="preserve">13.15</t>
  </si>
  <si>
    <t xml:space="preserve">Cold water PPR 1" PN-16: pump rising main from UGT at back to roof tank (53 ft) + floor mains (40 ft)</t>
  </si>
  <si>
    <t xml:space="preserve">13.16</t>
  </si>
  <si>
    <t xml:space="preserve">Cold water PPR ¾" PN-16: branch lines (measured 370 ft) + society supply to UGT (60 ft)</t>
  </si>
  <si>
    <t xml:space="preserve">13.17</t>
  </si>
  <si>
    <t xml:space="preserve">Cold water PPR ½" PN-16: fixture drops 35 x 4 ft</t>
  </si>
  <si>
    <t xml:space="preserve">13.18</t>
  </si>
  <si>
    <t xml:space="preserve">Hot water PPR ¾" PN-20: hot lines (measured) + geyser risers 36 ft</t>
  </si>
  <si>
    <t xml:space="preserve">13.19</t>
  </si>
  <si>
    <t xml:space="preserve">Hot water PPR ½" PN-20: fixture drops 20 x 4 ft</t>
  </si>
  <si>
    <t xml:space="preserve">13.20</t>
  </si>
  <si>
    <t xml:space="preserve">Gas: SNGPL-approved medium-class GI ½"-¾" to kitchens, geyser, heaters + riser from meter</t>
  </si>
  <si>
    <t xml:space="preserve">13.21</t>
  </si>
  <si>
    <t xml:space="preserve">PPR fittings (elbows ~120, tees ~60, sockets ~80, adaptors ~55, unions ~20), 24 ball/gate valves, ¾" float valve for UGT; GI fittings ~36</t>
  </si>
  <si>
    <t xml:space="preserve">approximate counts</t>
  </si>
  <si>
    <t xml:space="preserve">S14</t>
  </si>
  <si>
    <t xml:space="preserve">Electrical civil provisions and solar plinths</t>
  </si>
  <si>
    <t xml:space="preserve">14.1</t>
  </si>
  <si>
    <t xml:space="preserve">¾" PVC conduit: light/fan points 115 x 12 ft</t>
  </si>
  <si>
    <t xml:space="preserve">allowance per point / measured run</t>
  </si>
  <si>
    <t xml:space="preserve">J8</t>
  </si>
  <si>
    <t xml:space="preserve">14.2</t>
  </si>
  <si>
    <t xml:space="preserve">¾" PVC conduit: socket points 79 x 8 ft</t>
  </si>
  <si>
    <t xml:space="preserve">14.3</t>
  </si>
  <si>
    <t xml:space="preserve">¾" PVC conduit: call bells at 2 gates x 40 ft</t>
  </si>
  <si>
    <t xml:space="preserve">J2, J8</t>
  </si>
  <si>
    <t xml:space="preserve">14.4</t>
  </si>
  <si>
    <t xml:space="preserve">¾" PVC conduit: Cat6 data to 5 Wi-Fi access points (2 GF, 2 FF, 1 mumty) to router point</t>
  </si>
  <si>
    <t xml:space="preserve">14.5</t>
  </si>
  <si>
    <t xml:space="preserve">¾" PVC conduit: Cat6 to 7 CCTV cameras to NVR point (gates, porches, back gali, passages)</t>
  </si>
  <si>
    <t xml:space="preserve">14.6</t>
  </si>
  <si>
    <t xml:space="preserve">1" PVC conduit: DB to 39 switch-boards x 25 ft</t>
  </si>
  <si>
    <t xml:space="preserve">14.7</t>
  </si>
  <si>
    <t xml:space="preserve">1" PVC conduit: own run to each of 10 A.C points (5 x 45 + 4 x 30 + 1 x 40 ft)</t>
  </si>
  <si>
    <t xml:space="preserve">J1, J5, J7, J8</t>
  </si>
  <si>
    <t xml:space="preserve">14.8</t>
  </si>
  <si>
    <t xml:space="preserve">1" PVC conduit: earth conductors from 3 earth pits (house 25, lightning/surge 45, solar 55 ft)</t>
  </si>
  <si>
    <t xml:space="preserve">14.9</t>
  </si>
  <si>
    <t xml:space="preserve">1" PVC conduit: water pump at UGT from backup DB</t>
  </si>
  <si>
    <t xml:space="preserve">14.10</t>
  </si>
  <si>
    <t xml:space="preserve">1" PVC conduit: spare AC conduit, roof to inverter position</t>
  </si>
  <si>
    <t xml:space="preserve">14.11</t>
  </si>
  <si>
    <t xml:space="preserve">1¼" PVC conduit: spare DC conduit, roof to inverter position</t>
  </si>
  <si>
    <t xml:space="preserve">J4, J5</t>
  </si>
  <si>
    <t xml:space="preserve">14.12</t>
  </si>
  <si>
    <t xml:space="preserve">1¼" PVC conduit: inverter AC-out to GF backup DB (45) + grid to inverter AC-in (45)</t>
  </si>
  <si>
    <t xml:space="preserve">14.13</t>
  </si>
  <si>
    <t xml:space="preserve">1¼" PVC conduit: backup risers GF-&gt;FF backup DB (20) and -&gt;mumty backup DB (32)</t>
  </si>
  <si>
    <t xml:space="preserve">14.14</t>
  </si>
  <si>
    <t xml:space="preserve">1½" PVC conduit: meter to main DB + risers to FF and mumty DBs</t>
  </si>
  <si>
    <t xml:space="preserve">J6, J8</t>
  </si>
  <si>
    <t xml:space="preserve">14.15</t>
  </si>
  <si>
    <t xml:space="preserve">1½" PVC conduit: EV charger at front car porch from main DB (7.4 kW 1-ph / 11 kW 3-ph)</t>
  </si>
  <si>
    <t xml:space="preserve">14.16</t>
  </si>
  <si>
    <t xml:space="preserve">Conduit accessories: one bend and one coupler per 10 ft of conduit; PVC solvent</t>
  </si>
  <si>
    <t xml:space="preserve">by conduit length</t>
  </si>
  <si>
    <t xml:space="preserve">14.17</t>
  </si>
  <si>
    <t xml:space="preserve">Back boxes: 39 switch-board boxes, 79 socket boxes, 10 A.C boxes, 13 fan boxes with hooks, 110 light junction boxes, 5 access-point boxes, 7 CCTV boxes, 1 NVR/router box, 2 bell boxes</t>
  </si>
  <si>
    <t xml:space="preserve">point count from sheets 13-16 + J2</t>
  </si>
  <si>
    <t xml:space="preserve">J1, J2, J8</t>
  </si>
  <si>
    <t xml:space="preserve">14.18</t>
  </si>
  <si>
    <t xml:space="preserve">GF, FF, mumty</t>
  </si>
  <si>
    <t xml:space="preserve">DB enclosures (empty): main 12-way GF, 8-way FF, 4-way mumty; backup (essential-load) 8-way GF, 6-way FF, 4-way mumty; EV isolator box</t>
  </si>
  <si>
    <t xml:space="preserve">one main + one backup DB per floor + EV box</t>
  </si>
  <si>
    <t xml:space="preserve">3 main + 3 backup + 1 EV = 7 nos</t>
  </si>
  <si>
    <t xml:space="preserve">J5, J6</t>
  </si>
  <si>
    <t xml:space="preserve">14.19</t>
  </si>
  <si>
    <t xml:space="preserve">Lawn near front door</t>
  </si>
  <si>
    <t xml:space="preserve">3 earth pits (house, solar/inverter, lightning/surge): copper-bonded rod 5/8" x 10 ft, 2 bags earthing compound each, inspection chamber with cover</t>
  </si>
  <si>
    <t xml:space="preserve">3 nos</t>
  </si>
  <si>
    <t xml:space="preserve">J7</t>
  </si>
  <si>
    <t xml:space="preserve">14.20</t>
  </si>
  <si>
    <t xml:space="preserve">Mumty and roof walls</t>
  </si>
  <si>
    <t xml:space="preserve">2" PVC sleeves through walls for DC/AC conduits, pump cable and earth leads (6 nos x 1 ft)</t>
  </si>
  <si>
    <t xml:space="preserve">6 nos x 1 ft</t>
  </si>
  <si>
    <t xml:space="preserve">6 x 1 = 6 ft</t>
  </si>
  <si>
    <t xml:space="preserve">J4</t>
  </si>
  <si>
    <t xml:space="preserve">14.21</t>
  </si>
  <si>
    <t xml:space="preserve">Terrace and mumty roof</t>
  </si>
  <si>
    <t xml:space="preserve">Solar mounting plinths 15" x 15" x 12" high (1:2:4), 4 #3 starter bars cast into slab + 2 #2 links; 2 cast-in M12 x 250 mm galvanised J-bolts each; cast before membrane</t>
  </si>
  <si>
    <t xml:space="preserve">34 nos (23 panels x 650 W = 14.95 kWp)</t>
  </si>
  <si>
    <t xml:space="preserve">34 x 1.25 x 1.25 x 1.0</t>
  </si>
  <si>
    <t xml:space="preserve">J3</t>
  </si>
  <si>
    <t xml:space="preserve">14.22</t>
  </si>
  <si>
    <t xml:space="preserve">Mumty laundry (inverter + sodium-ion battery position)</t>
  </si>
  <si>
    <t xml:space="preserve">Raised RCC plinth 3'-0" x 1'-6" x 6" for battery cabinet (1:2:4)</t>
  </si>
  <si>
    <t xml:space="preserve">3'-0" x 1'-6" x 6"</t>
  </si>
  <si>
    <t xml:space="preserve">3.0 x 1.5 x 0.5 = 2.25 cft</t>
  </si>
  <si>
    <t xml:space="preserve">S15</t>
  </si>
  <si>
    <t xml:space="preserve">Boundary walls</t>
  </si>
  <si>
    <t xml:space="preserve">15.1</t>
  </si>
  <si>
    <t xml:space="preserve">All boundary walls</t>
  </si>
  <si>
    <t xml:space="preserve">Excavation to PCC bottom 2'-3" below NSL (into firm soil)</t>
  </si>
  <si>
    <t xml:space="preserve">141.9 ft x 2'-3" x 2'-3"</t>
  </si>
  <si>
    <t xml:space="preserve">141.9 x 2.25 x 2.25 x 1.10</t>
  </si>
  <si>
    <t xml:space="preserve">G1, G3</t>
  </si>
  <si>
    <t xml:space="preserve">15.2</t>
  </si>
  <si>
    <t xml:space="preserve">PCC 1:4:8, 3" x 2'-3"</t>
  </si>
  <si>
    <t xml:space="preserve">141.9 ft</t>
  </si>
  <si>
    <t xml:space="preserve">G3</t>
  </si>
  <si>
    <t xml:space="preserve">15.3</t>
  </si>
  <si>
    <t xml:space="preserve">Brick footing steps 22½" / 18" / 13½" (6" each) in 1:6, eccentric (all projections inside plot)</t>
  </si>
  <si>
    <t xml:space="preserve">141.9 x 4.5 x 0.5</t>
  </si>
  <si>
    <t xml:space="preserve">G3, C4</t>
  </si>
  <si>
    <t xml:space="preserve">15.4</t>
  </si>
  <si>
    <t xml:space="preserve">Wall 9" and pillar bases in 1:6 from step top (-2'-0") to underside of plinth band (+7½")</t>
  </si>
  <si>
    <t xml:space="preserve">panels 122.0 ft x 9" x 2'-7½"; pillars</t>
  </si>
  <si>
    <t xml:space="preserve">G3, D1</t>
  </si>
  <si>
    <t xml:space="preserve">15.5</t>
  </si>
  <si>
    <t xml:space="preserve">RCC plinth band 9" x 6" (1:2:4), 4 #3 + #2 rings @ 9" (as before)</t>
  </si>
  <si>
    <t xml:space="preserve">15.6</t>
  </si>
  <si>
    <t xml:space="preserve">DPC 1½" 1:2:4 with waterproofing compound + 2 coats hot bitumen on plinth band (top at plinth level +1'-3")</t>
  </si>
  <si>
    <t xml:space="preserve">141.9 ft x 9"</t>
  </si>
  <si>
    <t xml:space="preserve">G3, B4</t>
  </si>
  <si>
    <t xml:space="preserve">15.7</t>
  </si>
  <si>
    <t xml:space="preserve">Boundary wall 9" in 1:6 from DPC (+1'-3") to underside of coping; heights per sheets 11-12, back 7'-0", right 6'-0" / 7'-0"</t>
  </si>
  <si>
    <t xml:space="preserve">Front panels: 23.6 ft to 6'-0"; Left short panel at side gate: 3.0 ft to 6'-0"; Left long panel: 43.8 ft to 7'-3"; Back wall on gali, 37'-3": 37.3 ft to 7'-0"; Right side, front stretch: 9.0 ft to 6'-0"; Right side, rear-passage stretch: 5.4 ft to 7'-0"</t>
  </si>
  <si>
    <t xml:space="preserve">sum L x 0.75 x (H - 3" coping - 1'-3")</t>
  </si>
  <si>
    <t xml:space="preserve">G1, G2, D1</t>
  </si>
  <si>
    <t xml:space="preserve">15.8</t>
  </si>
  <si>
    <t xml:space="preserve">Gates and corners</t>
  </si>
  <si>
    <t xml:space="preserve">Brick pillars in 1:4: 7 nos 13½" x 13½" + 3 nos 4'-0" x 13½" feature pillars, DPC to cap (6'-6" above road)</t>
  </si>
  <si>
    <t xml:space="preserve">7 x 1.266 x 5.0 + 3 x 4.5 x 5.0</t>
  </si>
  <si>
    <t xml:space="preserve">G2, D1</t>
  </si>
  <si>
    <t xml:space="preserve">15.9</t>
  </si>
  <si>
    <t xml:space="preserve">RCC coping 3" x 12" on panels + 10 pillar caps (1:2:4), 2 #3</t>
  </si>
  <si>
    <t xml:space="preserve">panels 122.0 ft x 12" x 3" + 10 caps 1'-6" x 1'-6" x 3"</t>
  </si>
  <si>
    <t xml:space="preserve">122.0 x 1.0 x 0.25 + 10 x 1.5 x 1.5 x 0.25 = 36.1 cft; #3: 2 x 122.0 x 1.05</t>
  </si>
  <si>
    <t xml:space="preserve">15.10</t>
  </si>
  <si>
    <t xml:space="preserve">Plaster ¾" 1:4 on BOTH faces of all boundary walls (all sides), coping and pillars</t>
  </si>
  <si>
    <t xml:space="preserve">outside face from road / gali / neighbour level, inside face from passage / porch / lawn level</t>
  </si>
  <si>
    <t xml:space="preserve">15.11</t>
  </si>
  <si>
    <t xml:space="preserve">Back-filling with excavated earth</t>
  </si>
  <si>
    <t xml:space="preserve">790 - 445</t>
  </si>
  <si>
    <t xml:space="preserve">S16</t>
  </si>
  <si>
    <t xml:space="preserve">External works</t>
  </si>
  <si>
    <t xml:space="preserve">16.1</t>
  </si>
  <si>
    <t xml:space="preserve">Edge walls</t>
  </si>
  <si>
    <t xml:space="preserve">Back-filling around edge walls with excavated earth</t>
  </si>
  <si>
    <t xml:space="preserve">trench 264.3 cft less PCC, brick steps and wall below NSL</t>
  </si>
  <si>
    <t xml:space="preserve">264.3 - (42.7 x 2.5 x 0.25 + 42.7 x 2.25 + 42.7 x 0.75 x 0.5) = 125.5 cft</t>
  </si>
  <si>
    <t xml:space="preserve">16.2</t>
  </si>
  <si>
    <t xml:space="preserve">Back-filling around column footing</t>
  </si>
  <si>
    <t xml:space="preserve">pit 33.7 cft less PCC, footing and column below NSL</t>
  </si>
  <si>
    <t xml:space="preserve">33.7 - (3.5 x 3.5 x 0.25 + 9.0 + 1.266 x 1.25) = 20.0 cft</t>
  </si>
  <si>
    <t xml:space="preserve">16.3</t>
  </si>
  <si>
    <t xml:space="preserve">Left and rear passages</t>
  </si>
  <si>
    <t xml:space="preserve">Earth filling to underside of paving (+4"), compacted</t>
  </si>
  <si>
    <t xml:space="preserve">265 sft x 1.833 ft</t>
  </si>
  <si>
    <t xml:space="preserve">265.0 x 1.833 x 1.20</t>
  </si>
  <si>
    <t xml:space="preserve">A5, G4</t>
  </si>
  <si>
    <t xml:space="preserve">16.4</t>
  </si>
  <si>
    <t xml:space="preserve">Sand 2" under paving base</t>
  </si>
  <si>
    <t xml:space="preserve">265 sft x 2"</t>
  </si>
  <si>
    <t xml:space="preserve">G4</t>
  </si>
  <si>
    <t xml:space="preserve">16.5</t>
  </si>
  <si>
    <t xml:space="preserve">PCC 1:4:8, 3" paving base sloped 1:60 away from house to drains (tuff-tile finish in finishing estimate)</t>
  </si>
  <si>
    <t xml:space="preserve">265 sft x 3"</t>
  </si>
  <si>
    <t xml:space="preserve">16.6</t>
  </si>
  <si>
    <t xml:space="preserve">Outside main and side gates</t>
  </si>
  <si>
    <t xml:space="preserve">Ramps 1:6 (road to porch +1'-3"): compacted earth fill</t>
  </si>
  <si>
    <t xml:space="preserve">183 sft</t>
  </si>
  <si>
    <t xml:space="preserve">16.7</t>
  </si>
  <si>
    <t xml:space="preserve">Ramps: sand 2"</t>
  </si>
  <si>
    <t xml:space="preserve">16.8</t>
  </si>
  <si>
    <t xml:space="preserve">Ramps: PCC 1:4:8 3" base (finish in finishing estimate)</t>
  </si>
  <si>
    <t xml:space="preserve">16.9</t>
  </si>
  <si>
    <t xml:space="preserve">Entrance, porch, rear and side doors</t>
  </si>
  <si>
    <t xml:space="preserve">Steps: brick 1:5 + PCC 1:4:8 tread base (allowance, as before)</t>
  </si>
  <si>
    <t xml:space="preserve">entrance, two porch, rear-door and side-door steps</t>
  </si>
  <si>
    <t xml:space="preserve">allowance: brickwork 40 cft (1:5) + PCC 20 cft (1:4:8) under treads</t>
  </si>
  <si>
    <t xml:space="preserve">16.10</t>
  </si>
  <si>
    <t xml:space="preserve">Toe walls and rear-porch edges</t>
  </si>
  <si>
    <t xml:space="preserve">Plaster ¾" 1:4 on exposed face of edge walls</t>
  </si>
  <si>
    <t xml:space="preserve">22.3 ft x 1'-3"</t>
  </si>
  <si>
    <t xml:space="preserve">C6, F1</t>
  </si>
  <si>
    <t xml:space="preserve">Total of BOQ lines (gross x rate, before purchase rounding; binding wire is on the Totals sheet)</t>
  </si>
  <si>
    <t xml:space="preserve">Totals by material - purchase quantities rounded to buying units</t>
  </si>
  <si>
    <t xml:space="preserve">Net = SUMIF of BOQ; Gross = Net x (1 + wastage); Purchase = Gross rounded UP to the buying unit; Cost = Purchase x Rate.</t>
  </si>
  <si>
    <t xml:space="preserve">No. of buying units</t>
  </si>
  <si>
    <t xml:space="preserve">Tractor-trolley loads</t>
  </si>
  <si>
    <t xml:space="preserve">TOTAL MATERIAL COST (purchase quantities)</t>
  </si>
  <si>
    <t xml:space="preserve">Covered area (sft) - GF 1,898 + FF 1,844 + mumty 362</t>
  </si>
  <si>
    <t xml:space="preserve">Total of BOQ lines before purchase rounding (incl. binding wire gross)</t>
  </si>
  <si>
    <t xml:space="preserve">Rounding to buying units</t>
  </si>
  <si>
    <t xml:space="preserve">Cost by group</t>
  </si>
  <si>
    <t xml:space="preserve">Stage-wise cost and quantities to buy before each stage (gross = with wastage)</t>
  </si>
  <si>
    <t xml:space="preserve">Material cost (PKR, before rounding)</t>
  </si>
  <si>
    <t xml:space="preserve">Cement (bags)</t>
  </si>
  <si>
    <t xml:space="preserve">Bricks (nos)</t>
  </si>
  <si>
    <t xml:space="preserve">Steel #2 (kg)</t>
  </si>
  <si>
    <t xml:space="preserve">Steel #3 (kg)</t>
  </si>
  <si>
    <t xml:space="preserve">Steel #4 (kg)</t>
  </si>
  <si>
    <t xml:space="preserve">Steel #6 (kg)</t>
  </si>
  <si>
    <t xml:space="preserve">Chenab sand (cft)</t>
  </si>
  <si>
    <t xml:space="preserve">Ravi sand (cft)</t>
  </si>
  <si>
    <t xml:space="preserve">Crush (cft)</t>
  </si>
  <si>
    <t xml:space="preserve">Khangar (cft)</t>
  </si>
  <si>
    <t xml:space="preserve">Earth (cft)</t>
  </si>
  <si>
    <t xml:space="preserve">Binding wire (bought with the steel)</t>
  </si>
  <si>
    <t xml:space="preserve">TOTAL</t>
  </si>
  <si>
    <t xml:space="preserve">Steel schedule by bar size and member group (net kg, before 4% wastage)</t>
  </si>
  <si>
    <t xml:space="preserve">#2 (6 mm)</t>
  </si>
  <si>
    <t xml:space="preserve">#3 (10 mm)</t>
  </si>
  <si>
    <t xml:space="preserve">#4 (12 mm)</t>
  </si>
  <si>
    <t xml:space="preserve">#6 (20 mm)</t>
  </si>
  <si>
    <t xml:space="preserve">Total (kg)</t>
  </si>
  <si>
    <t xml:space="preserve">TOTAL net</t>
  </si>
  <si>
    <t xml:space="preserve">Purchase (Totals sheet)</t>
  </si>
  <si>
    <t xml:space="preserve">Binding wire purchase (kg)</t>
  </si>
  <si>
    <t xml:space="preserve">Level table: foundation bottom to finished floor (road crown = 0)</t>
  </si>
  <si>
    <t xml:space="preserve">Level (inches)</t>
  </si>
  <si>
    <t xml:space="preserve">Level (ft-in)</t>
  </si>
  <si>
    <t xml:space="preserve">What is at this level</t>
  </si>
  <si>
    <t xml:space="preserve">-4'-0"</t>
  </si>
  <si>
    <t xml:space="preserve">Bottom of PCC under house footings (2'-6" below NSL; ~6" into the firm stratum)</t>
  </si>
  <si>
    <t xml:space="preserve">C2</t>
  </si>
  <si>
    <t xml:space="preserve">-3'-9"</t>
  </si>
  <si>
    <t xml:space="preserve">Top of PCC 3" / bottom of 27" (22½") brick step</t>
  </si>
  <si>
    <t xml:space="preserve">C3</t>
  </si>
  <si>
    <t xml:space="preserve">-3'-6"</t>
  </si>
  <si>
    <t xml:space="preserve">Firm natural soil starts (about 2'-0" below NSL)</t>
  </si>
  <si>
    <t xml:space="preserve">A2</t>
  </si>
  <si>
    <t xml:space="preserve">-2'-3"</t>
  </si>
  <si>
    <t xml:space="preserve">Top of three 6" brick steps; 13½" foundation wall (9" under 4½" walls) starts</t>
  </si>
  <si>
    <t xml:space="preserve">-1'-6"</t>
  </si>
  <si>
    <t xml:space="preserve">Natural surface level (NSL)</t>
  </si>
  <si>
    <t xml:space="preserve">A1</t>
  </si>
  <si>
    <t xml:space="preserve">+0'-0"</t>
  </si>
  <si>
    <t xml:space="preserve">Road crown; 13½" wall steps to 9" plinth wall</t>
  </si>
  <si>
    <t xml:space="preserve">A1, C1</t>
  </si>
  <si>
    <t xml:space="preserve">+1'-0"</t>
  </si>
  <si>
    <t xml:space="preserve">Finished level of side and rear passages (assumed, sloping 1:60 to drains)</t>
  </si>
  <si>
    <t xml:space="preserve">+1'-2"</t>
  </si>
  <si>
    <t xml:space="preserve">Finished lawn level (lawn filling excluded)</t>
  </si>
  <si>
    <t xml:space="preserve">A3, A5</t>
  </si>
  <si>
    <t xml:space="preserve">+1'-3"</t>
  </si>
  <si>
    <t xml:space="preserve">Finished level of both car porches; highest adjoining outside level</t>
  </si>
  <si>
    <t xml:space="preserve">A3</t>
  </si>
  <si>
    <t xml:space="preserve">+1'-10.5"</t>
  </si>
  <si>
    <t xml:space="preserve">Underside of 9"x9" RCC plinth beam</t>
  </si>
  <si>
    <t xml:space="preserve">+1'-11.5"</t>
  </si>
  <si>
    <t xml:space="preserve">Top of compacted earth fill inside the house</t>
  </si>
  <si>
    <t xml:space="preserve">+2'-3.5"</t>
  </si>
  <si>
    <t xml:space="preserve">Top of 4" khangar (stone ballast)</t>
  </si>
  <si>
    <t xml:space="preserve">+2'-4.5"</t>
  </si>
  <si>
    <t xml:space="preserve">Top of 1" sand blinding; 0.2 mm polythene laid here</t>
  </si>
  <si>
    <t xml:space="preserve">+2'-7.5"</t>
  </si>
  <si>
    <t xml:space="preserve">Top of 3" PCC sub-floor = top of plinth beam = underside of DPC</t>
  </si>
  <si>
    <t xml:space="preserve">B2, B4</t>
  </si>
  <si>
    <t xml:space="preserve">+2'-9"</t>
  </si>
  <si>
    <t xml:space="preserve">Top of DPC = finished floor level (top of tile, +2'-9")</t>
  </si>
  <si>
    <t xml:space="preserve">Check B5: top of DPC = finished floor +2'-9"; highest outside level = porch +1'-3"; clearance 1'-6" (minimum 9") - PASS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</si>
</sst>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%"/>
    <numFmt numFmtId="167" formatCode="#,##0.00"/>
    <numFmt numFmtId="168" formatCode="#,##0.0;\(#,##0.0\);\-"/>
    <numFmt numFmtId="169" formatCode="0.0"/>
    <numFmt numFmtId="170" formatCode="#,##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f aca="false">Totals!L86</f>
        <v>9189795</v>
      </c>
    </row>
    <row r="5" customFormat="false" ht="15" hidden="false" customHeight="false" outlineLevel="0" collapsed="false">
      <c r="A5" s="3" t="s">
        <v>3</v>
      </c>
      <c r="B5" s="4" t="n">
        <f aca="false">Totals!L87</f>
        <v>4104</v>
      </c>
    </row>
    <row r="6" customFormat="false" ht="15" hidden="false" customHeight="false" outlineLevel="0" collapsed="false">
      <c r="A6" s="3" t="s">
        <v>4</v>
      </c>
      <c r="B6" s="4" t="n">
        <f aca="false">Totals!L88</f>
        <v>2239.22880116959</v>
      </c>
    </row>
    <row r="8" customFormat="false" ht="15" hidden="false" customHeight="false" outlineLevel="0" collapsed="false">
      <c r="A8" s="5" t="s">
        <v>5</v>
      </c>
      <c r="B8" s="5" t="s">
        <v>6</v>
      </c>
      <c r="C8" s="5" t="s">
        <v>7</v>
      </c>
      <c r="D8" s="5" t="s">
        <v>8</v>
      </c>
    </row>
    <row r="9" customFormat="false" ht="15" hidden="false" customHeight="false" outlineLevel="0" collapsed="false">
      <c r="A9" s="6" t="s">
        <v>9</v>
      </c>
      <c r="B9" s="7" t="n">
        <f aca="false">Totals!I5</f>
        <v>1544</v>
      </c>
      <c r="C9" s="6" t="str">
        <f aca="false">Totals!C5</f>
        <v>bag</v>
      </c>
      <c r="D9" s="7" t="n">
        <f aca="false">Totals!L5</f>
        <v>2408640</v>
      </c>
    </row>
    <row r="10" customFormat="false" ht="15" hidden="false" customHeight="false" outlineLevel="0" collapsed="false">
      <c r="A10" s="6" t="s">
        <v>10</v>
      </c>
      <c r="B10" s="7" t="n">
        <f aca="false">Totals!I6</f>
        <v>133000</v>
      </c>
      <c r="C10" s="6" t="str">
        <f aca="false">Totals!C6</f>
        <v>nos</v>
      </c>
      <c r="D10" s="7" t="n">
        <f aca="false">Totals!L6</f>
        <v>2128000</v>
      </c>
    </row>
    <row r="11" customFormat="false" ht="15" hidden="false" customHeight="false" outlineLevel="0" collapsed="false">
      <c r="A11" s="6" t="s">
        <v>11</v>
      </c>
      <c r="B11" s="7" t="n">
        <f aca="false">Totals!I8</f>
        <v>3940</v>
      </c>
      <c r="C11" s="6" t="str">
        <f aca="false">Totals!C8</f>
        <v>kg</v>
      </c>
      <c r="D11" s="7" t="n">
        <f aca="false">Totals!L8</f>
        <v>1032280</v>
      </c>
    </row>
    <row r="12" customFormat="false" ht="15" hidden="false" customHeight="false" outlineLevel="0" collapsed="false">
      <c r="A12" s="6" t="s">
        <v>12</v>
      </c>
      <c r="B12" s="7" t="n">
        <f aca="false">Totals!I9</f>
        <v>2260</v>
      </c>
      <c r="C12" s="6" t="str">
        <f aca="false">Totals!C9</f>
        <v>kg</v>
      </c>
      <c r="D12" s="7" t="n">
        <f aca="false">Totals!L9</f>
        <v>592120</v>
      </c>
    </row>
    <row r="13" customFormat="false" ht="15" hidden="false" customHeight="false" outlineLevel="0" collapsed="false">
      <c r="A13" s="6" t="s">
        <v>13</v>
      </c>
      <c r="B13" s="7" t="n">
        <f aca="false">Totals!I10</f>
        <v>1020</v>
      </c>
      <c r="C13" s="6" t="str">
        <f aca="false">Totals!C10</f>
        <v>kg</v>
      </c>
      <c r="D13" s="7" t="n">
        <f aca="false">Totals!L10</f>
        <v>267240</v>
      </c>
    </row>
    <row r="14" customFormat="false" ht="15" hidden="false" customHeight="false" outlineLevel="0" collapsed="false">
      <c r="A14" s="6" t="s">
        <v>14</v>
      </c>
      <c r="B14" s="7" t="n">
        <f aca="false">Totals!I7</f>
        <v>170</v>
      </c>
      <c r="C14" s="6" t="str">
        <f aca="false">Totals!C7</f>
        <v>kg</v>
      </c>
      <c r="D14" s="7" t="n">
        <f aca="false">Totals!L7</f>
        <v>45900</v>
      </c>
    </row>
    <row r="15" customFormat="false" ht="15" hidden="false" customHeight="false" outlineLevel="0" collapsed="false">
      <c r="A15" s="6" t="s">
        <v>15</v>
      </c>
      <c r="B15" s="7" t="n">
        <f aca="false">Totals!I11</f>
        <v>75</v>
      </c>
      <c r="C15" s="6" t="str">
        <f aca="false">Totals!C11</f>
        <v>kg</v>
      </c>
      <c r="D15" s="7" t="n">
        <f aca="false">Totals!L11</f>
        <v>30000</v>
      </c>
    </row>
    <row r="16" customFormat="false" ht="15" hidden="false" customHeight="false" outlineLevel="0" collapsed="false">
      <c r="A16" s="6" t="s">
        <v>16</v>
      </c>
      <c r="B16" s="7" t="n">
        <f aca="false">Totals!I14</f>
        <v>4000</v>
      </c>
      <c r="C16" s="6" t="str">
        <f aca="false">Totals!C14</f>
        <v>cft</v>
      </c>
      <c r="D16" s="7" t="n">
        <f aca="false">Totals!L14</f>
        <v>440000</v>
      </c>
    </row>
    <row r="17" customFormat="false" ht="15" hidden="false" customHeight="false" outlineLevel="0" collapsed="false">
      <c r="A17" s="6" t="s">
        <v>17</v>
      </c>
      <c r="B17" s="7" t="n">
        <f aca="false">Totals!I12</f>
        <v>2550</v>
      </c>
      <c r="C17" s="6" t="str">
        <f aca="false">Totals!C12</f>
        <v>cft</v>
      </c>
      <c r="D17" s="7" t="n">
        <f aca="false">Totals!L12</f>
        <v>165750</v>
      </c>
    </row>
    <row r="18" customFormat="false" ht="15" hidden="false" customHeight="false" outlineLevel="0" collapsed="false">
      <c r="A18" s="6" t="s">
        <v>18</v>
      </c>
      <c r="B18" s="7" t="n">
        <f aca="false">Totals!I13</f>
        <v>5400</v>
      </c>
      <c r="C18" s="6" t="str">
        <f aca="false">Totals!C13</f>
        <v>cft</v>
      </c>
      <c r="D18" s="7" t="n">
        <f aca="false">Totals!L13</f>
        <v>216000</v>
      </c>
    </row>
    <row r="19" customFormat="false" ht="15" hidden="false" customHeight="false" outlineLevel="0" collapsed="false">
      <c r="A19" s="6" t="s">
        <v>19</v>
      </c>
      <c r="B19" s="7" t="n">
        <f aca="false">Totals!I15</f>
        <v>700</v>
      </c>
      <c r="C19" s="6" t="str">
        <f aca="false">Totals!C15</f>
        <v>cft</v>
      </c>
      <c r="D19" s="7" t="n">
        <f aca="false">Totals!L15</f>
        <v>63000</v>
      </c>
    </row>
    <row r="20" customFormat="false" ht="15" hidden="false" customHeight="false" outlineLevel="0" collapsed="false">
      <c r="A20" s="6" t="s">
        <v>20</v>
      </c>
      <c r="B20" s="7" t="n">
        <f aca="false">Totals!I16</f>
        <v>4200</v>
      </c>
      <c r="C20" s="6" t="str">
        <f aca="false">Totals!C16</f>
        <v>cft</v>
      </c>
      <c r="D20" s="7" t="n">
        <f aca="false">Totals!L16</f>
        <v>105000</v>
      </c>
    </row>
    <row r="21" customFormat="false" ht="15" hidden="false" customHeight="false" outlineLevel="0" collapsed="false">
      <c r="A21" s="6" t="s">
        <v>21</v>
      </c>
      <c r="B21" s="7" t="n">
        <f aca="false">Totals!I18</f>
        <v>500</v>
      </c>
      <c r="C21" s="6" t="str">
        <f aca="false">Totals!C18</f>
        <v>kg</v>
      </c>
      <c r="D21" s="7" t="n">
        <f aca="false">Totals!L18</f>
        <v>140000</v>
      </c>
    </row>
    <row r="22" customFormat="false" ht="15" hidden="false" customHeight="false" outlineLevel="0" collapsed="false">
      <c r="A22" s="6" t="s">
        <v>22</v>
      </c>
      <c r="B22" s="7" t="n">
        <f aca="false">Totals!I21</f>
        <v>230</v>
      </c>
      <c r="C22" s="6" t="str">
        <f aca="false">Totals!C21</f>
        <v>m2</v>
      </c>
      <c r="D22" s="7" t="n">
        <f aca="false">Totals!L21</f>
        <v>161000</v>
      </c>
    </row>
    <row r="23" customFormat="false" ht="15" hidden="false" customHeight="false" outlineLevel="0" collapsed="false">
      <c r="A23" s="6" t="s">
        <v>23</v>
      </c>
      <c r="B23" s="7" t="n">
        <f aca="false">Totals!I27</f>
        <v>5300</v>
      </c>
      <c r="C23" s="6" t="str">
        <f aca="false">Totals!C27</f>
        <v>nos</v>
      </c>
      <c r="D23" s="7" t="n">
        <f aca="false">Totals!L27</f>
        <v>106000</v>
      </c>
    </row>
    <row r="25" customFormat="false" ht="15" hidden="false" customHeight="false" outlineLevel="0" collapsed="false">
      <c r="A25" s="2" t="s">
        <v>24</v>
      </c>
    </row>
    <row r="26" customFormat="false" ht="15" hidden="false" customHeight="false" outlineLevel="0" collapsed="false">
      <c r="A26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2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70"/>
    <col collapsed="false" customWidth="true" hidden="false" outlineLevel="0" max="10" min="10" style="0" width="14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4" customFormat="false" ht="15" hidden="false" customHeight="false" outlineLevel="0" collapsed="false">
      <c r="A4" s="8" t="s">
        <v>28</v>
      </c>
      <c r="B4" s="8" t="s">
        <v>29</v>
      </c>
      <c r="C4" s="8" t="s">
        <v>7</v>
      </c>
      <c r="D4" s="8" t="s">
        <v>30</v>
      </c>
      <c r="E4" s="8" t="s">
        <v>31</v>
      </c>
      <c r="F4" s="8" t="s">
        <v>32</v>
      </c>
      <c r="G4" s="8" t="s">
        <v>33</v>
      </c>
      <c r="H4" s="8" t="s">
        <v>34</v>
      </c>
      <c r="I4" s="8" t="s">
        <v>35</v>
      </c>
      <c r="J4" s="8" t="s">
        <v>36</v>
      </c>
    </row>
    <row r="5" customFormat="false" ht="22.35" hidden="false" customHeight="false" outlineLevel="0" collapsed="false">
      <c r="A5" s="9" t="s">
        <v>37</v>
      </c>
      <c r="B5" s="9" t="s">
        <v>38</v>
      </c>
      <c r="C5" s="9" t="s">
        <v>39</v>
      </c>
      <c r="D5" s="10" t="n">
        <v>0.03</v>
      </c>
      <c r="E5" s="11" t="n">
        <v>1560</v>
      </c>
      <c r="F5" s="9" t="s">
        <v>39</v>
      </c>
      <c r="G5" s="9" t="n">
        <v>1</v>
      </c>
      <c r="H5" s="9" t="s">
        <v>40</v>
      </c>
      <c r="I5" s="9" t="s">
        <v>41</v>
      </c>
      <c r="J5" s="9" t="s">
        <v>42</v>
      </c>
    </row>
    <row r="6" customFormat="false" ht="22.35" hidden="false" customHeight="false" outlineLevel="0" collapsed="false">
      <c r="A6" s="9" t="s">
        <v>43</v>
      </c>
      <c r="B6" s="9" t="s">
        <v>44</v>
      </c>
      <c r="C6" s="9" t="s">
        <v>45</v>
      </c>
      <c r="D6" s="10" t="n">
        <v>0.05</v>
      </c>
      <c r="E6" s="11" t="n">
        <v>16</v>
      </c>
      <c r="F6" s="9" t="s">
        <v>46</v>
      </c>
      <c r="G6" s="9" t="n">
        <v>1000</v>
      </c>
      <c r="H6" s="9" t="s">
        <v>47</v>
      </c>
      <c r="I6" s="9" t="s">
        <v>48</v>
      </c>
      <c r="J6" s="9" t="s">
        <v>49</v>
      </c>
    </row>
    <row r="7" customFormat="false" ht="22.35" hidden="false" customHeight="false" outlineLevel="0" collapsed="false">
      <c r="A7" s="9" t="s">
        <v>50</v>
      </c>
      <c r="B7" s="9" t="s">
        <v>51</v>
      </c>
      <c r="C7" s="9" t="s">
        <v>52</v>
      </c>
      <c r="D7" s="10" t="n">
        <v>0.04</v>
      </c>
      <c r="E7" s="11" t="n">
        <v>270</v>
      </c>
      <c r="F7" s="9" t="s">
        <v>53</v>
      </c>
      <c r="G7" s="9" t="n">
        <v>10</v>
      </c>
      <c r="H7" s="9" t="s">
        <v>40</v>
      </c>
      <c r="I7" s="9" t="s">
        <v>54</v>
      </c>
      <c r="J7" s="9" t="s">
        <v>55</v>
      </c>
    </row>
    <row r="8" customFormat="false" ht="15" hidden="false" customHeight="false" outlineLevel="0" collapsed="false">
      <c r="A8" s="9" t="s">
        <v>56</v>
      </c>
      <c r="B8" s="9" t="s">
        <v>57</v>
      </c>
      <c r="C8" s="9" t="s">
        <v>52</v>
      </c>
      <c r="D8" s="10" t="n">
        <v>0.04</v>
      </c>
      <c r="E8" s="11" t="n">
        <v>262</v>
      </c>
      <c r="F8" s="9" t="s">
        <v>53</v>
      </c>
      <c r="G8" s="9" t="n">
        <v>10</v>
      </c>
      <c r="H8" s="9" t="s">
        <v>40</v>
      </c>
      <c r="I8" s="9" t="s">
        <v>58</v>
      </c>
      <c r="J8" s="9" t="s">
        <v>55</v>
      </c>
    </row>
    <row r="9" customFormat="false" ht="15" hidden="false" customHeight="false" outlineLevel="0" collapsed="false">
      <c r="A9" s="9" t="s">
        <v>59</v>
      </c>
      <c r="B9" s="9" t="s">
        <v>60</v>
      </c>
      <c r="C9" s="9" t="s">
        <v>52</v>
      </c>
      <c r="D9" s="10" t="n">
        <v>0.04</v>
      </c>
      <c r="E9" s="11" t="n">
        <v>262</v>
      </c>
      <c r="F9" s="9" t="s">
        <v>53</v>
      </c>
      <c r="G9" s="9" t="n">
        <v>10</v>
      </c>
      <c r="H9" s="9" t="s">
        <v>40</v>
      </c>
      <c r="I9" s="9" t="s">
        <v>61</v>
      </c>
      <c r="J9" s="9" t="s">
        <v>55</v>
      </c>
    </row>
    <row r="10" customFormat="false" ht="15" hidden="false" customHeight="false" outlineLevel="0" collapsed="false">
      <c r="A10" s="9" t="s">
        <v>62</v>
      </c>
      <c r="B10" s="9" t="s">
        <v>63</v>
      </c>
      <c r="C10" s="9" t="s">
        <v>52</v>
      </c>
      <c r="D10" s="10" t="n">
        <v>0.04</v>
      </c>
      <c r="E10" s="11" t="n">
        <v>262</v>
      </c>
      <c r="F10" s="9" t="s">
        <v>53</v>
      </c>
      <c r="G10" s="9" t="n">
        <v>10</v>
      </c>
      <c r="H10" s="9" t="s">
        <v>40</v>
      </c>
      <c r="I10" s="9" t="s">
        <v>61</v>
      </c>
      <c r="J10" s="9" t="s">
        <v>55</v>
      </c>
    </row>
    <row r="11" customFormat="false" ht="15" hidden="false" customHeight="false" outlineLevel="0" collapsed="false">
      <c r="A11" s="9" t="s">
        <v>64</v>
      </c>
      <c r="B11" s="9" t="s">
        <v>65</v>
      </c>
      <c r="C11" s="9" t="s">
        <v>52</v>
      </c>
      <c r="D11" s="10" t="n">
        <v>0</v>
      </c>
      <c r="E11" s="11" t="n">
        <v>400</v>
      </c>
      <c r="F11" s="9" t="s">
        <v>66</v>
      </c>
      <c r="G11" s="9" t="n">
        <v>5</v>
      </c>
      <c r="H11" s="9" t="s">
        <v>67</v>
      </c>
      <c r="I11" s="9" t="s">
        <v>68</v>
      </c>
      <c r="J11" s="9" t="s">
        <v>55</v>
      </c>
    </row>
    <row r="12" customFormat="false" ht="15" hidden="false" customHeight="false" outlineLevel="0" collapsed="false">
      <c r="A12" s="9" t="s">
        <v>69</v>
      </c>
      <c r="B12" s="9" t="s">
        <v>70</v>
      </c>
      <c r="C12" s="9" t="s">
        <v>71</v>
      </c>
      <c r="D12" s="10" t="n">
        <v>0.08</v>
      </c>
      <c r="E12" s="11" t="n">
        <v>65</v>
      </c>
      <c r="F12" s="9" t="s">
        <v>72</v>
      </c>
      <c r="G12" s="9" t="n">
        <v>50</v>
      </c>
      <c r="H12" s="9" t="s">
        <v>73</v>
      </c>
      <c r="I12" s="9" t="s">
        <v>74</v>
      </c>
      <c r="J12" s="9" t="s">
        <v>75</v>
      </c>
    </row>
    <row r="13" customFormat="false" ht="15" hidden="false" customHeight="false" outlineLevel="0" collapsed="false">
      <c r="A13" s="9" t="s">
        <v>76</v>
      </c>
      <c r="B13" s="9" t="s">
        <v>77</v>
      </c>
      <c r="C13" s="9" t="s">
        <v>71</v>
      </c>
      <c r="D13" s="10" t="n">
        <v>0.08</v>
      </c>
      <c r="E13" s="11" t="n">
        <v>40</v>
      </c>
      <c r="F13" s="9" t="s">
        <v>72</v>
      </c>
      <c r="G13" s="9" t="n">
        <v>50</v>
      </c>
      <c r="H13" s="9" t="s">
        <v>67</v>
      </c>
      <c r="I13" s="9" t="s">
        <v>78</v>
      </c>
      <c r="J13" s="9" t="s">
        <v>75</v>
      </c>
    </row>
    <row r="14" customFormat="false" ht="15" hidden="false" customHeight="false" outlineLevel="0" collapsed="false">
      <c r="A14" s="9" t="s">
        <v>79</v>
      </c>
      <c r="B14" s="9" t="s">
        <v>80</v>
      </c>
      <c r="C14" s="9" t="s">
        <v>71</v>
      </c>
      <c r="D14" s="10" t="n">
        <v>0.05</v>
      </c>
      <c r="E14" s="11" t="n">
        <v>110</v>
      </c>
      <c r="F14" s="9" t="s">
        <v>72</v>
      </c>
      <c r="G14" s="9" t="n">
        <v>50</v>
      </c>
      <c r="H14" s="9" t="s">
        <v>73</v>
      </c>
      <c r="I14" s="9" t="s">
        <v>81</v>
      </c>
      <c r="J14" s="9" t="s">
        <v>82</v>
      </c>
    </row>
    <row r="15" customFormat="false" ht="15" hidden="false" customHeight="false" outlineLevel="0" collapsed="false">
      <c r="A15" s="9" t="s">
        <v>83</v>
      </c>
      <c r="B15" s="9" t="s">
        <v>84</v>
      </c>
      <c r="C15" s="9" t="s">
        <v>71</v>
      </c>
      <c r="D15" s="10" t="n">
        <v>0.05</v>
      </c>
      <c r="E15" s="11" t="n">
        <v>90</v>
      </c>
      <c r="F15" s="9" t="s">
        <v>72</v>
      </c>
      <c r="G15" s="9" t="n">
        <v>50</v>
      </c>
      <c r="H15" s="9" t="s">
        <v>67</v>
      </c>
      <c r="I15" s="9" t="s">
        <v>68</v>
      </c>
      <c r="J15" s="9" t="s">
        <v>85</v>
      </c>
    </row>
    <row r="16" customFormat="false" ht="15" hidden="false" customHeight="false" outlineLevel="0" collapsed="false">
      <c r="A16" s="9" t="s">
        <v>86</v>
      </c>
      <c r="B16" s="9" t="s">
        <v>87</v>
      </c>
      <c r="C16" s="9" t="s">
        <v>71</v>
      </c>
      <c r="D16" s="10" t="n">
        <v>0</v>
      </c>
      <c r="E16" s="11" t="n">
        <v>25</v>
      </c>
      <c r="F16" s="9" t="s">
        <v>72</v>
      </c>
      <c r="G16" s="9" t="n">
        <v>50</v>
      </c>
      <c r="H16" s="9" t="s">
        <v>67</v>
      </c>
      <c r="I16" s="9" t="s">
        <v>88</v>
      </c>
      <c r="J16" s="9" t="s">
        <v>89</v>
      </c>
    </row>
    <row r="17" customFormat="false" ht="15" hidden="false" customHeight="false" outlineLevel="0" collapsed="false">
      <c r="A17" s="9" t="s">
        <v>90</v>
      </c>
      <c r="B17" s="9" t="s">
        <v>91</v>
      </c>
      <c r="C17" s="9" t="s">
        <v>52</v>
      </c>
      <c r="D17" s="10" t="n">
        <v>0.05</v>
      </c>
      <c r="E17" s="11" t="n">
        <v>550</v>
      </c>
      <c r="F17" s="9" t="s">
        <v>52</v>
      </c>
      <c r="G17" s="9" t="n">
        <v>1</v>
      </c>
      <c r="H17" s="9" t="s">
        <v>67</v>
      </c>
      <c r="I17" s="9" t="s">
        <v>68</v>
      </c>
      <c r="J17" s="9" t="s">
        <v>92</v>
      </c>
    </row>
    <row r="18" customFormat="false" ht="22.35" hidden="false" customHeight="false" outlineLevel="0" collapsed="false">
      <c r="A18" s="9" t="s">
        <v>93</v>
      </c>
      <c r="B18" s="9" t="s">
        <v>94</v>
      </c>
      <c r="C18" s="9" t="s">
        <v>52</v>
      </c>
      <c r="D18" s="10" t="n">
        <v>0.05</v>
      </c>
      <c r="E18" s="11" t="n">
        <v>280</v>
      </c>
      <c r="F18" s="9" t="s">
        <v>53</v>
      </c>
      <c r="G18" s="9" t="n">
        <v>10</v>
      </c>
      <c r="H18" s="9" t="s">
        <v>95</v>
      </c>
      <c r="I18" s="9" t="s">
        <v>96</v>
      </c>
      <c r="J18" s="9" t="s">
        <v>92</v>
      </c>
    </row>
    <row r="19" customFormat="false" ht="15" hidden="false" customHeight="false" outlineLevel="0" collapsed="false">
      <c r="A19" s="9" t="s">
        <v>97</v>
      </c>
      <c r="B19" s="9" t="s">
        <v>98</v>
      </c>
      <c r="C19" s="9" t="s">
        <v>52</v>
      </c>
      <c r="D19" s="10" t="n">
        <v>0</v>
      </c>
      <c r="E19" s="11" t="n">
        <v>350</v>
      </c>
      <c r="F19" s="9" t="s">
        <v>52</v>
      </c>
      <c r="G19" s="9" t="n">
        <v>1</v>
      </c>
      <c r="H19" s="9" t="s">
        <v>67</v>
      </c>
      <c r="I19" s="9" t="s">
        <v>68</v>
      </c>
      <c r="J19" s="9" t="s">
        <v>92</v>
      </c>
    </row>
    <row r="20" customFormat="false" ht="15" hidden="false" customHeight="false" outlineLevel="0" collapsed="false">
      <c r="A20" s="9" t="s">
        <v>99</v>
      </c>
      <c r="B20" s="9" t="s">
        <v>100</v>
      </c>
      <c r="C20" s="9" t="s">
        <v>101</v>
      </c>
      <c r="D20" s="10" t="n">
        <v>0.05</v>
      </c>
      <c r="E20" s="11" t="n">
        <v>900</v>
      </c>
      <c r="F20" s="9" t="s">
        <v>102</v>
      </c>
      <c r="G20" s="9" t="n">
        <v>4</v>
      </c>
      <c r="H20" s="9" t="s">
        <v>67</v>
      </c>
      <c r="I20" s="9" t="s">
        <v>68</v>
      </c>
      <c r="J20" s="9" t="s">
        <v>92</v>
      </c>
    </row>
    <row r="21" customFormat="false" ht="15" hidden="false" customHeight="false" outlineLevel="0" collapsed="false">
      <c r="A21" s="9" t="s">
        <v>103</v>
      </c>
      <c r="B21" s="9" t="s">
        <v>104</v>
      </c>
      <c r="C21" s="9" t="s">
        <v>105</v>
      </c>
      <c r="D21" s="10" t="n">
        <v>0.05</v>
      </c>
      <c r="E21" s="11" t="n">
        <v>700</v>
      </c>
      <c r="F21" s="9" t="s">
        <v>106</v>
      </c>
      <c r="G21" s="9" t="n">
        <v>10</v>
      </c>
      <c r="H21" s="9" t="s">
        <v>67</v>
      </c>
      <c r="I21" s="9" t="s">
        <v>107</v>
      </c>
      <c r="J21" s="9" t="s">
        <v>92</v>
      </c>
    </row>
    <row r="22" customFormat="false" ht="15" hidden="false" customHeight="false" outlineLevel="0" collapsed="false">
      <c r="A22" s="9" t="s">
        <v>108</v>
      </c>
      <c r="B22" s="9" t="s">
        <v>109</v>
      </c>
      <c r="C22" s="9" t="s">
        <v>52</v>
      </c>
      <c r="D22" s="10" t="n">
        <v>0</v>
      </c>
      <c r="E22" s="11" t="n">
        <v>300</v>
      </c>
      <c r="F22" s="9" t="s">
        <v>110</v>
      </c>
      <c r="G22" s="9" t="n">
        <v>11.8</v>
      </c>
      <c r="H22" s="9" t="s">
        <v>67</v>
      </c>
      <c r="I22" s="9" t="s">
        <v>111</v>
      </c>
      <c r="J22" s="9" t="s">
        <v>92</v>
      </c>
    </row>
    <row r="23" customFormat="false" ht="15" hidden="false" customHeight="false" outlineLevel="0" collapsed="false">
      <c r="A23" s="9" t="s">
        <v>112</v>
      </c>
      <c r="B23" s="9" t="s">
        <v>113</v>
      </c>
      <c r="C23" s="9" t="s">
        <v>52</v>
      </c>
      <c r="D23" s="10" t="n">
        <v>0.05</v>
      </c>
      <c r="E23" s="11" t="n">
        <v>450</v>
      </c>
      <c r="F23" s="9" t="s">
        <v>66</v>
      </c>
      <c r="G23" s="9" t="n">
        <v>5</v>
      </c>
      <c r="H23" s="9" t="s">
        <v>67</v>
      </c>
      <c r="I23" s="9" t="s">
        <v>68</v>
      </c>
      <c r="J23" s="9" t="s">
        <v>92</v>
      </c>
    </row>
    <row r="24" customFormat="false" ht="15" hidden="false" customHeight="false" outlineLevel="0" collapsed="false">
      <c r="A24" s="9" t="s">
        <v>114</v>
      </c>
      <c r="B24" s="9" t="s">
        <v>115</v>
      </c>
      <c r="C24" s="9" t="s">
        <v>52</v>
      </c>
      <c r="D24" s="10" t="n">
        <v>0.05</v>
      </c>
      <c r="E24" s="11" t="n">
        <v>550</v>
      </c>
      <c r="F24" s="9" t="s">
        <v>66</v>
      </c>
      <c r="G24" s="9" t="n">
        <v>5</v>
      </c>
      <c r="H24" s="9" t="s">
        <v>67</v>
      </c>
      <c r="I24" s="9" t="s">
        <v>68</v>
      </c>
      <c r="J24" s="9" t="s">
        <v>92</v>
      </c>
    </row>
    <row r="25" customFormat="false" ht="15" hidden="false" customHeight="false" outlineLevel="0" collapsed="false">
      <c r="A25" s="9" t="s">
        <v>116</v>
      </c>
      <c r="B25" s="9" t="s">
        <v>117</v>
      </c>
      <c r="C25" s="9" t="s">
        <v>118</v>
      </c>
      <c r="D25" s="10" t="n">
        <v>0.05</v>
      </c>
      <c r="E25" s="11" t="n">
        <v>650</v>
      </c>
      <c r="F25" s="9" t="s">
        <v>118</v>
      </c>
      <c r="G25" s="9" t="n">
        <v>1</v>
      </c>
      <c r="H25" s="9" t="s">
        <v>67</v>
      </c>
      <c r="I25" s="9" t="s">
        <v>68</v>
      </c>
      <c r="J25" s="9" t="s">
        <v>92</v>
      </c>
    </row>
    <row r="26" customFormat="false" ht="15" hidden="false" customHeight="false" outlineLevel="0" collapsed="false">
      <c r="A26" s="9" t="s">
        <v>119</v>
      </c>
      <c r="B26" s="9" t="s">
        <v>120</v>
      </c>
      <c r="C26" s="9" t="s">
        <v>101</v>
      </c>
      <c r="D26" s="10" t="n">
        <v>0.05</v>
      </c>
      <c r="E26" s="11" t="n">
        <v>3500</v>
      </c>
      <c r="F26" s="9" t="s">
        <v>101</v>
      </c>
      <c r="G26" s="9" t="n">
        <v>1</v>
      </c>
      <c r="H26" s="9" t="s">
        <v>67</v>
      </c>
      <c r="I26" s="9" t="s">
        <v>68</v>
      </c>
      <c r="J26" s="9" t="s">
        <v>121</v>
      </c>
    </row>
    <row r="27" customFormat="false" ht="15" hidden="false" customHeight="false" outlineLevel="0" collapsed="false">
      <c r="A27" s="9" t="s">
        <v>122</v>
      </c>
      <c r="B27" s="9" t="s">
        <v>123</v>
      </c>
      <c r="C27" s="9" t="s">
        <v>45</v>
      </c>
      <c r="D27" s="10" t="n">
        <v>0.05</v>
      </c>
      <c r="E27" s="11" t="n">
        <v>20</v>
      </c>
      <c r="F27" s="9" t="s">
        <v>124</v>
      </c>
      <c r="G27" s="9" t="n">
        <v>100</v>
      </c>
      <c r="H27" s="9" t="s">
        <v>67</v>
      </c>
      <c r="I27" s="9" t="s">
        <v>68</v>
      </c>
      <c r="J27" s="9" t="s">
        <v>125</v>
      </c>
    </row>
    <row r="28" customFormat="false" ht="15" hidden="false" customHeight="false" outlineLevel="0" collapsed="false">
      <c r="A28" s="9" t="s">
        <v>126</v>
      </c>
      <c r="B28" s="9" t="s">
        <v>127</v>
      </c>
      <c r="C28" s="9" t="s">
        <v>128</v>
      </c>
      <c r="D28" s="10" t="n">
        <v>0.05</v>
      </c>
      <c r="E28" s="11" t="n">
        <v>5500</v>
      </c>
      <c r="F28" s="9" t="s">
        <v>128</v>
      </c>
      <c r="G28" s="9" t="n">
        <v>1</v>
      </c>
      <c r="H28" s="9" t="s">
        <v>67</v>
      </c>
      <c r="I28" s="9" t="s">
        <v>68</v>
      </c>
      <c r="J28" s="9" t="s">
        <v>129</v>
      </c>
    </row>
    <row r="29" customFormat="false" ht="15" hidden="false" customHeight="false" outlineLevel="0" collapsed="false">
      <c r="A29" s="9" t="s">
        <v>130</v>
      </c>
      <c r="B29" s="9" t="s">
        <v>131</v>
      </c>
      <c r="C29" s="9" t="s">
        <v>52</v>
      </c>
      <c r="D29" s="10" t="n">
        <v>0</v>
      </c>
      <c r="E29" s="11" t="n">
        <v>450</v>
      </c>
      <c r="F29" s="9" t="s">
        <v>52</v>
      </c>
      <c r="G29" s="9" t="n">
        <v>1</v>
      </c>
      <c r="H29" s="9" t="s">
        <v>67</v>
      </c>
      <c r="I29" s="9" t="s">
        <v>68</v>
      </c>
      <c r="J29" s="9" t="s">
        <v>129</v>
      </c>
    </row>
    <row r="30" customFormat="false" ht="15" hidden="false" customHeight="false" outlineLevel="0" collapsed="false">
      <c r="A30" s="9" t="s">
        <v>132</v>
      </c>
      <c r="B30" s="9" t="s">
        <v>133</v>
      </c>
      <c r="C30" s="9" t="s">
        <v>118</v>
      </c>
      <c r="D30" s="10" t="n">
        <v>0.07</v>
      </c>
      <c r="E30" s="11" t="n">
        <v>420</v>
      </c>
      <c r="F30" s="9" t="s">
        <v>134</v>
      </c>
      <c r="G30" s="9" t="n">
        <v>20</v>
      </c>
      <c r="H30" s="9" t="s">
        <v>67</v>
      </c>
      <c r="I30" s="9" t="s">
        <v>68</v>
      </c>
      <c r="J30" s="9" t="s">
        <v>135</v>
      </c>
    </row>
    <row r="31" customFormat="false" ht="15" hidden="false" customHeight="false" outlineLevel="0" collapsed="false">
      <c r="A31" s="9" t="s">
        <v>136</v>
      </c>
      <c r="B31" s="9" t="s">
        <v>137</v>
      </c>
      <c r="C31" s="9" t="s">
        <v>118</v>
      </c>
      <c r="D31" s="10" t="n">
        <v>0.07</v>
      </c>
      <c r="E31" s="11" t="n">
        <v>300</v>
      </c>
      <c r="F31" s="9" t="s">
        <v>134</v>
      </c>
      <c r="G31" s="9" t="n">
        <v>20</v>
      </c>
      <c r="H31" s="9" t="s">
        <v>67</v>
      </c>
      <c r="I31" s="9" t="s">
        <v>68</v>
      </c>
      <c r="J31" s="9" t="s">
        <v>135</v>
      </c>
    </row>
    <row r="32" customFormat="false" ht="15" hidden="false" customHeight="false" outlineLevel="0" collapsed="false">
      <c r="A32" s="9" t="s">
        <v>138</v>
      </c>
      <c r="B32" s="9" t="s">
        <v>139</v>
      </c>
      <c r="C32" s="9" t="s">
        <v>118</v>
      </c>
      <c r="D32" s="10" t="n">
        <v>0.07</v>
      </c>
      <c r="E32" s="11" t="n">
        <v>200</v>
      </c>
      <c r="F32" s="9" t="s">
        <v>134</v>
      </c>
      <c r="G32" s="9" t="n">
        <v>20</v>
      </c>
      <c r="H32" s="9" t="s">
        <v>67</v>
      </c>
      <c r="I32" s="9" t="s">
        <v>68</v>
      </c>
      <c r="J32" s="9" t="s">
        <v>135</v>
      </c>
    </row>
    <row r="33" customFormat="false" ht="15" hidden="false" customHeight="false" outlineLevel="0" collapsed="false">
      <c r="A33" s="9" t="s">
        <v>140</v>
      </c>
      <c r="B33" s="9" t="s">
        <v>141</v>
      </c>
      <c r="C33" s="9" t="s">
        <v>118</v>
      </c>
      <c r="D33" s="10" t="n">
        <v>0.07</v>
      </c>
      <c r="E33" s="11" t="n">
        <v>200</v>
      </c>
      <c r="F33" s="9" t="s">
        <v>134</v>
      </c>
      <c r="G33" s="9" t="n">
        <v>20</v>
      </c>
      <c r="H33" s="9" t="s">
        <v>67</v>
      </c>
      <c r="I33" s="9" t="s">
        <v>68</v>
      </c>
      <c r="J33" s="9" t="s">
        <v>135</v>
      </c>
    </row>
    <row r="34" customFormat="false" ht="15" hidden="false" customHeight="false" outlineLevel="0" collapsed="false">
      <c r="A34" s="9" t="s">
        <v>142</v>
      </c>
      <c r="B34" s="9" t="s">
        <v>143</v>
      </c>
      <c r="C34" s="9" t="s">
        <v>45</v>
      </c>
      <c r="D34" s="10" t="n">
        <v>0</v>
      </c>
      <c r="E34" s="11" t="n">
        <v>950</v>
      </c>
      <c r="F34" s="9" t="s">
        <v>45</v>
      </c>
      <c r="G34" s="9" t="n">
        <v>1</v>
      </c>
      <c r="H34" s="9" t="s">
        <v>67</v>
      </c>
      <c r="I34" s="9" t="s">
        <v>68</v>
      </c>
      <c r="J34" s="9" t="s">
        <v>135</v>
      </c>
    </row>
    <row r="35" customFormat="false" ht="15" hidden="false" customHeight="false" outlineLevel="0" collapsed="false">
      <c r="A35" s="9" t="s">
        <v>144</v>
      </c>
      <c r="B35" s="9" t="s">
        <v>145</v>
      </c>
      <c r="C35" s="9" t="s">
        <v>45</v>
      </c>
      <c r="D35" s="10" t="n">
        <v>0</v>
      </c>
      <c r="E35" s="11" t="n">
        <v>600</v>
      </c>
      <c r="F35" s="9" t="s">
        <v>45</v>
      </c>
      <c r="G35" s="9" t="n">
        <v>1</v>
      </c>
      <c r="H35" s="9" t="s">
        <v>67</v>
      </c>
      <c r="I35" s="9" t="s">
        <v>68</v>
      </c>
      <c r="J35" s="9" t="s">
        <v>135</v>
      </c>
    </row>
    <row r="36" customFormat="false" ht="15" hidden="false" customHeight="false" outlineLevel="0" collapsed="false">
      <c r="A36" s="9" t="s">
        <v>146</v>
      </c>
      <c r="B36" s="9" t="s">
        <v>147</v>
      </c>
      <c r="C36" s="9" t="s">
        <v>45</v>
      </c>
      <c r="D36" s="10" t="n">
        <v>0</v>
      </c>
      <c r="E36" s="11" t="n">
        <v>380</v>
      </c>
      <c r="F36" s="9" t="s">
        <v>45</v>
      </c>
      <c r="G36" s="9" t="n">
        <v>1</v>
      </c>
      <c r="H36" s="9" t="s">
        <v>67</v>
      </c>
      <c r="I36" s="9" t="s">
        <v>68</v>
      </c>
      <c r="J36" s="9" t="s">
        <v>135</v>
      </c>
    </row>
    <row r="37" customFormat="false" ht="15" hidden="false" customHeight="false" outlineLevel="0" collapsed="false">
      <c r="A37" s="9" t="s">
        <v>148</v>
      </c>
      <c r="B37" s="9" t="s">
        <v>149</v>
      </c>
      <c r="C37" s="9" t="s">
        <v>45</v>
      </c>
      <c r="D37" s="10" t="n">
        <v>0</v>
      </c>
      <c r="E37" s="11" t="n">
        <v>600</v>
      </c>
      <c r="F37" s="9" t="s">
        <v>45</v>
      </c>
      <c r="G37" s="9" t="n">
        <v>1</v>
      </c>
      <c r="H37" s="9" t="s">
        <v>67</v>
      </c>
      <c r="I37" s="9" t="s">
        <v>68</v>
      </c>
      <c r="J37" s="9" t="s">
        <v>135</v>
      </c>
    </row>
    <row r="38" customFormat="false" ht="15" hidden="false" customHeight="false" outlineLevel="0" collapsed="false">
      <c r="A38" s="9" t="s">
        <v>150</v>
      </c>
      <c r="B38" s="9" t="s">
        <v>151</v>
      </c>
      <c r="C38" s="9" t="s">
        <v>45</v>
      </c>
      <c r="D38" s="10" t="n">
        <v>0</v>
      </c>
      <c r="E38" s="11" t="n">
        <v>15000</v>
      </c>
      <c r="F38" s="9" t="s">
        <v>45</v>
      </c>
      <c r="G38" s="9" t="n">
        <v>1</v>
      </c>
      <c r="H38" s="9" t="s">
        <v>67</v>
      </c>
      <c r="I38" s="9" t="s">
        <v>68</v>
      </c>
      <c r="J38" s="9" t="s">
        <v>152</v>
      </c>
    </row>
    <row r="39" customFormat="false" ht="15" hidden="false" customHeight="false" outlineLevel="0" collapsed="false">
      <c r="A39" s="9" t="s">
        <v>153</v>
      </c>
      <c r="B39" s="9" t="s">
        <v>154</v>
      </c>
      <c r="C39" s="9" t="s">
        <v>45</v>
      </c>
      <c r="D39" s="10" t="n">
        <v>0</v>
      </c>
      <c r="E39" s="11" t="n">
        <v>12000</v>
      </c>
      <c r="F39" s="9" t="s">
        <v>45</v>
      </c>
      <c r="G39" s="9" t="n">
        <v>1</v>
      </c>
      <c r="H39" s="9" t="s">
        <v>67</v>
      </c>
      <c r="I39" s="9" t="s">
        <v>68</v>
      </c>
      <c r="J39" s="9" t="s">
        <v>152</v>
      </c>
    </row>
    <row r="40" customFormat="false" ht="15" hidden="false" customHeight="false" outlineLevel="0" collapsed="false">
      <c r="A40" s="9" t="s">
        <v>155</v>
      </c>
      <c r="B40" s="9" t="s">
        <v>156</v>
      </c>
      <c r="C40" s="9" t="s">
        <v>118</v>
      </c>
      <c r="D40" s="10" t="n">
        <v>0.07</v>
      </c>
      <c r="E40" s="11" t="n">
        <v>35</v>
      </c>
      <c r="F40" s="9" t="s">
        <v>157</v>
      </c>
      <c r="G40" s="9" t="n">
        <v>10</v>
      </c>
      <c r="H40" s="9" t="s">
        <v>67</v>
      </c>
      <c r="I40" s="9" t="s">
        <v>68</v>
      </c>
      <c r="J40" s="9" t="s">
        <v>135</v>
      </c>
    </row>
    <row r="41" customFormat="false" ht="15" hidden="false" customHeight="false" outlineLevel="0" collapsed="false">
      <c r="A41" s="9" t="s">
        <v>158</v>
      </c>
      <c r="B41" s="9" t="s">
        <v>159</v>
      </c>
      <c r="C41" s="9" t="s">
        <v>45</v>
      </c>
      <c r="D41" s="10" t="n">
        <v>0</v>
      </c>
      <c r="E41" s="11" t="n">
        <v>350</v>
      </c>
      <c r="F41" s="9" t="s">
        <v>45</v>
      </c>
      <c r="G41" s="9" t="n">
        <v>1</v>
      </c>
      <c r="H41" s="9" t="s">
        <v>67</v>
      </c>
      <c r="I41" s="9" t="s">
        <v>68</v>
      </c>
      <c r="J41" s="9" t="s">
        <v>135</v>
      </c>
    </row>
    <row r="42" customFormat="false" ht="15" hidden="false" customHeight="false" outlineLevel="0" collapsed="false">
      <c r="A42" s="9" t="s">
        <v>160</v>
      </c>
      <c r="B42" s="9" t="s">
        <v>161</v>
      </c>
      <c r="C42" s="9" t="s">
        <v>118</v>
      </c>
      <c r="D42" s="10" t="n">
        <v>0.07</v>
      </c>
      <c r="E42" s="11" t="n">
        <v>270</v>
      </c>
      <c r="F42" s="9" t="s">
        <v>162</v>
      </c>
      <c r="G42" s="9" t="n">
        <v>13</v>
      </c>
      <c r="H42" s="9" t="s">
        <v>163</v>
      </c>
      <c r="I42" s="9" t="s">
        <v>164</v>
      </c>
      <c r="J42" s="9" t="s">
        <v>165</v>
      </c>
    </row>
    <row r="43" customFormat="false" ht="15" hidden="false" customHeight="false" outlineLevel="0" collapsed="false">
      <c r="A43" s="9" t="s">
        <v>166</v>
      </c>
      <c r="B43" s="9" t="s">
        <v>167</v>
      </c>
      <c r="C43" s="9" t="s">
        <v>118</v>
      </c>
      <c r="D43" s="10" t="n">
        <v>0.07</v>
      </c>
      <c r="E43" s="11" t="n">
        <v>175</v>
      </c>
      <c r="F43" s="9" t="s">
        <v>162</v>
      </c>
      <c r="G43" s="9" t="n">
        <v>13</v>
      </c>
      <c r="H43" s="9" t="s">
        <v>163</v>
      </c>
      <c r="I43" s="9" t="s">
        <v>168</v>
      </c>
      <c r="J43" s="9" t="s">
        <v>165</v>
      </c>
    </row>
    <row r="44" customFormat="false" ht="15" hidden="false" customHeight="false" outlineLevel="0" collapsed="false">
      <c r="A44" s="9" t="s">
        <v>169</v>
      </c>
      <c r="B44" s="9" t="s">
        <v>170</v>
      </c>
      <c r="C44" s="9" t="s">
        <v>118</v>
      </c>
      <c r="D44" s="10" t="n">
        <v>0.07</v>
      </c>
      <c r="E44" s="11" t="n">
        <v>110</v>
      </c>
      <c r="F44" s="9" t="s">
        <v>162</v>
      </c>
      <c r="G44" s="9" t="n">
        <v>13</v>
      </c>
      <c r="H44" s="9" t="s">
        <v>163</v>
      </c>
      <c r="I44" s="9" t="s">
        <v>171</v>
      </c>
      <c r="J44" s="9" t="s">
        <v>165</v>
      </c>
    </row>
    <row r="45" customFormat="false" ht="15" hidden="false" customHeight="false" outlineLevel="0" collapsed="false">
      <c r="A45" s="9" t="s">
        <v>172</v>
      </c>
      <c r="B45" s="9" t="s">
        <v>173</v>
      </c>
      <c r="C45" s="9" t="s">
        <v>118</v>
      </c>
      <c r="D45" s="10" t="n">
        <v>0.07</v>
      </c>
      <c r="E45" s="11" t="n">
        <v>70</v>
      </c>
      <c r="F45" s="9" t="s">
        <v>162</v>
      </c>
      <c r="G45" s="9" t="n">
        <v>13</v>
      </c>
      <c r="H45" s="9" t="s">
        <v>163</v>
      </c>
      <c r="I45" s="9" t="s">
        <v>174</v>
      </c>
      <c r="J45" s="9" t="s">
        <v>165</v>
      </c>
    </row>
    <row r="46" customFormat="false" ht="15" hidden="false" customHeight="false" outlineLevel="0" collapsed="false">
      <c r="A46" s="9" t="s">
        <v>175</v>
      </c>
      <c r="B46" s="9" t="s">
        <v>176</v>
      </c>
      <c r="C46" s="9" t="s">
        <v>118</v>
      </c>
      <c r="D46" s="10" t="n">
        <v>0.07</v>
      </c>
      <c r="E46" s="11" t="n">
        <v>135</v>
      </c>
      <c r="F46" s="9" t="s">
        <v>162</v>
      </c>
      <c r="G46" s="9" t="n">
        <v>13</v>
      </c>
      <c r="H46" s="9" t="s">
        <v>163</v>
      </c>
      <c r="I46" s="9" t="s">
        <v>177</v>
      </c>
      <c r="J46" s="9" t="s">
        <v>165</v>
      </c>
    </row>
    <row r="47" customFormat="false" ht="15" hidden="false" customHeight="false" outlineLevel="0" collapsed="false">
      <c r="A47" s="9" t="s">
        <v>178</v>
      </c>
      <c r="B47" s="9" t="s">
        <v>179</v>
      </c>
      <c r="C47" s="9" t="s">
        <v>118</v>
      </c>
      <c r="D47" s="10" t="n">
        <v>0.07</v>
      </c>
      <c r="E47" s="11" t="n">
        <v>85</v>
      </c>
      <c r="F47" s="9" t="s">
        <v>162</v>
      </c>
      <c r="G47" s="9" t="n">
        <v>13</v>
      </c>
      <c r="H47" s="9" t="s">
        <v>163</v>
      </c>
      <c r="I47" s="9" t="s">
        <v>68</v>
      </c>
      <c r="J47" s="9" t="s">
        <v>165</v>
      </c>
    </row>
    <row r="48" customFormat="false" ht="15" hidden="false" customHeight="false" outlineLevel="0" collapsed="false">
      <c r="A48" s="9" t="s">
        <v>180</v>
      </c>
      <c r="B48" s="9" t="s">
        <v>181</v>
      </c>
      <c r="C48" s="9" t="s">
        <v>118</v>
      </c>
      <c r="D48" s="10" t="n">
        <v>0.07</v>
      </c>
      <c r="E48" s="11" t="n">
        <v>260</v>
      </c>
      <c r="F48" s="9" t="s">
        <v>134</v>
      </c>
      <c r="G48" s="9" t="n">
        <v>20</v>
      </c>
      <c r="H48" s="9" t="s">
        <v>67</v>
      </c>
      <c r="I48" s="9" t="s">
        <v>68</v>
      </c>
      <c r="J48" s="9" t="s">
        <v>182</v>
      </c>
    </row>
    <row r="49" customFormat="false" ht="15" hidden="false" customHeight="false" outlineLevel="0" collapsed="false">
      <c r="A49" s="9" t="s">
        <v>183</v>
      </c>
      <c r="B49" s="9" t="s">
        <v>184</v>
      </c>
      <c r="C49" s="9" t="s">
        <v>45</v>
      </c>
      <c r="D49" s="10" t="n">
        <v>0</v>
      </c>
      <c r="E49" s="11" t="n">
        <v>120</v>
      </c>
      <c r="F49" s="9" t="s">
        <v>45</v>
      </c>
      <c r="G49" s="9" t="n">
        <v>1</v>
      </c>
      <c r="H49" s="9" t="s">
        <v>67</v>
      </c>
      <c r="I49" s="9" t="s">
        <v>68</v>
      </c>
      <c r="J49" s="9" t="s">
        <v>165</v>
      </c>
    </row>
    <row r="50" customFormat="false" ht="15" hidden="false" customHeight="false" outlineLevel="0" collapsed="false">
      <c r="A50" s="9" t="s">
        <v>185</v>
      </c>
      <c r="B50" s="9" t="s">
        <v>186</v>
      </c>
      <c r="C50" s="9" t="s">
        <v>45</v>
      </c>
      <c r="D50" s="10" t="n">
        <v>0</v>
      </c>
      <c r="E50" s="11" t="n">
        <v>900</v>
      </c>
      <c r="F50" s="9" t="s">
        <v>45</v>
      </c>
      <c r="G50" s="9" t="n">
        <v>1</v>
      </c>
      <c r="H50" s="9" t="s">
        <v>67</v>
      </c>
      <c r="I50" s="9" t="s">
        <v>68</v>
      </c>
      <c r="J50" s="9" t="s">
        <v>165</v>
      </c>
    </row>
    <row r="51" customFormat="false" ht="15" hidden="false" customHeight="false" outlineLevel="0" collapsed="false">
      <c r="A51" s="9" t="s">
        <v>187</v>
      </c>
      <c r="B51" s="9" t="s">
        <v>188</v>
      </c>
      <c r="C51" s="9" t="s">
        <v>45</v>
      </c>
      <c r="D51" s="10" t="n">
        <v>0</v>
      </c>
      <c r="E51" s="11" t="n">
        <v>2500</v>
      </c>
      <c r="F51" s="9" t="s">
        <v>45</v>
      </c>
      <c r="G51" s="9" t="n">
        <v>1</v>
      </c>
      <c r="H51" s="9" t="s">
        <v>67</v>
      </c>
      <c r="I51" s="9" t="s">
        <v>68</v>
      </c>
      <c r="J51" s="9" t="s">
        <v>165</v>
      </c>
    </row>
    <row r="52" customFormat="false" ht="15" hidden="false" customHeight="false" outlineLevel="0" collapsed="false">
      <c r="A52" s="9" t="s">
        <v>189</v>
      </c>
      <c r="B52" s="9" t="s">
        <v>190</v>
      </c>
      <c r="C52" s="9" t="s">
        <v>45</v>
      </c>
      <c r="D52" s="10" t="n">
        <v>0</v>
      </c>
      <c r="E52" s="11" t="n">
        <v>250</v>
      </c>
      <c r="F52" s="9" t="s">
        <v>45</v>
      </c>
      <c r="G52" s="9" t="n">
        <v>1</v>
      </c>
      <c r="H52" s="9" t="s">
        <v>67</v>
      </c>
      <c r="I52" s="9" t="s">
        <v>68</v>
      </c>
      <c r="J52" s="9" t="s">
        <v>182</v>
      </c>
    </row>
    <row r="53" customFormat="false" ht="15" hidden="false" customHeight="false" outlineLevel="0" collapsed="false">
      <c r="A53" s="9" t="s">
        <v>191</v>
      </c>
      <c r="B53" s="9" t="s">
        <v>192</v>
      </c>
      <c r="C53" s="9" t="s">
        <v>118</v>
      </c>
      <c r="D53" s="10" t="n">
        <v>0.07</v>
      </c>
      <c r="E53" s="11" t="n">
        <v>25</v>
      </c>
      <c r="F53" s="9" t="s">
        <v>157</v>
      </c>
      <c r="G53" s="9" t="n">
        <v>10</v>
      </c>
      <c r="H53" s="9" t="s">
        <v>67</v>
      </c>
      <c r="I53" s="9" t="s">
        <v>68</v>
      </c>
      <c r="J53" s="9" t="s">
        <v>193</v>
      </c>
    </row>
    <row r="54" customFormat="false" ht="15" hidden="false" customHeight="false" outlineLevel="0" collapsed="false">
      <c r="A54" s="9" t="s">
        <v>194</v>
      </c>
      <c r="B54" s="9" t="s">
        <v>195</v>
      </c>
      <c r="C54" s="9" t="s">
        <v>118</v>
      </c>
      <c r="D54" s="10" t="n">
        <v>0.07</v>
      </c>
      <c r="E54" s="11" t="n">
        <v>38</v>
      </c>
      <c r="F54" s="9" t="s">
        <v>157</v>
      </c>
      <c r="G54" s="9" t="n">
        <v>10</v>
      </c>
      <c r="H54" s="9" t="s">
        <v>67</v>
      </c>
      <c r="I54" s="9" t="s">
        <v>68</v>
      </c>
      <c r="J54" s="9" t="s">
        <v>193</v>
      </c>
    </row>
    <row r="55" customFormat="false" ht="15" hidden="false" customHeight="false" outlineLevel="0" collapsed="false">
      <c r="A55" s="9" t="s">
        <v>196</v>
      </c>
      <c r="B55" s="9" t="s">
        <v>197</v>
      </c>
      <c r="C55" s="9" t="s">
        <v>118</v>
      </c>
      <c r="D55" s="10" t="n">
        <v>0.07</v>
      </c>
      <c r="E55" s="11" t="n">
        <v>56</v>
      </c>
      <c r="F55" s="9" t="s">
        <v>157</v>
      </c>
      <c r="G55" s="9" t="n">
        <v>10</v>
      </c>
      <c r="H55" s="9" t="s">
        <v>67</v>
      </c>
      <c r="I55" s="9" t="s">
        <v>68</v>
      </c>
      <c r="J55" s="9" t="s">
        <v>193</v>
      </c>
    </row>
    <row r="56" customFormat="false" ht="15" hidden="false" customHeight="false" outlineLevel="0" collapsed="false">
      <c r="A56" s="9" t="s">
        <v>198</v>
      </c>
      <c r="B56" s="9" t="s">
        <v>199</v>
      </c>
      <c r="C56" s="9" t="s">
        <v>118</v>
      </c>
      <c r="D56" s="10" t="n">
        <v>0.07</v>
      </c>
      <c r="E56" s="11" t="n">
        <v>75</v>
      </c>
      <c r="F56" s="9" t="s">
        <v>157</v>
      </c>
      <c r="G56" s="9" t="n">
        <v>10</v>
      </c>
      <c r="H56" s="9" t="s">
        <v>67</v>
      </c>
      <c r="I56" s="9" t="s">
        <v>68</v>
      </c>
      <c r="J56" s="9" t="s">
        <v>193</v>
      </c>
    </row>
    <row r="57" customFormat="false" ht="15" hidden="false" customHeight="false" outlineLevel="0" collapsed="false">
      <c r="A57" s="9" t="s">
        <v>200</v>
      </c>
      <c r="B57" s="9" t="s">
        <v>201</v>
      </c>
      <c r="C57" s="9" t="s">
        <v>45</v>
      </c>
      <c r="D57" s="10" t="n">
        <v>0</v>
      </c>
      <c r="E57" s="11" t="n">
        <v>35</v>
      </c>
      <c r="F57" s="9" t="s">
        <v>45</v>
      </c>
      <c r="G57" s="9" t="n">
        <v>1</v>
      </c>
      <c r="H57" s="9" t="s">
        <v>67</v>
      </c>
      <c r="I57" s="9" t="s">
        <v>68</v>
      </c>
      <c r="J57" s="9" t="s">
        <v>193</v>
      </c>
    </row>
    <row r="58" customFormat="false" ht="15" hidden="false" customHeight="false" outlineLevel="0" collapsed="false">
      <c r="A58" s="9" t="s">
        <v>202</v>
      </c>
      <c r="B58" s="9" t="s">
        <v>203</v>
      </c>
      <c r="C58" s="9" t="s">
        <v>45</v>
      </c>
      <c r="D58" s="10" t="n">
        <v>0</v>
      </c>
      <c r="E58" s="11" t="n">
        <v>55</v>
      </c>
      <c r="F58" s="9" t="s">
        <v>45</v>
      </c>
      <c r="G58" s="9" t="n">
        <v>1</v>
      </c>
      <c r="H58" s="9" t="s">
        <v>67</v>
      </c>
      <c r="I58" s="9" t="s">
        <v>68</v>
      </c>
      <c r="J58" s="9" t="s">
        <v>193</v>
      </c>
    </row>
    <row r="59" customFormat="false" ht="15" hidden="false" customHeight="false" outlineLevel="0" collapsed="false">
      <c r="A59" s="9" t="s">
        <v>204</v>
      </c>
      <c r="B59" s="9" t="s">
        <v>205</v>
      </c>
      <c r="C59" s="9" t="s">
        <v>45</v>
      </c>
      <c r="D59" s="10" t="n">
        <v>0</v>
      </c>
      <c r="E59" s="11" t="n">
        <v>90</v>
      </c>
      <c r="F59" s="9" t="s">
        <v>45</v>
      </c>
      <c r="G59" s="9" t="n">
        <v>1</v>
      </c>
      <c r="H59" s="9" t="s">
        <v>67</v>
      </c>
      <c r="I59" s="9" t="s">
        <v>68</v>
      </c>
      <c r="J59" s="9" t="s">
        <v>193</v>
      </c>
    </row>
    <row r="60" customFormat="false" ht="15" hidden="false" customHeight="false" outlineLevel="0" collapsed="false">
      <c r="A60" s="9" t="s">
        <v>206</v>
      </c>
      <c r="B60" s="9" t="s">
        <v>207</v>
      </c>
      <c r="C60" s="9" t="s">
        <v>45</v>
      </c>
      <c r="D60" s="10" t="n">
        <v>0</v>
      </c>
      <c r="E60" s="11" t="n">
        <v>120</v>
      </c>
      <c r="F60" s="9" t="s">
        <v>45</v>
      </c>
      <c r="G60" s="9" t="n">
        <v>1</v>
      </c>
      <c r="H60" s="9" t="s">
        <v>67</v>
      </c>
      <c r="I60" s="9" t="s">
        <v>68</v>
      </c>
      <c r="J60" s="9" t="s">
        <v>193</v>
      </c>
    </row>
    <row r="61" customFormat="false" ht="15" hidden="false" customHeight="false" outlineLevel="0" collapsed="false">
      <c r="A61" s="9" t="s">
        <v>208</v>
      </c>
      <c r="B61" s="9" t="s">
        <v>209</v>
      </c>
      <c r="C61" s="9" t="s">
        <v>45</v>
      </c>
      <c r="D61" s="10" t="n">
        <v>0</v>
      </c>
      <c r="E61" s="11" t="n">
        <v>15</v>
      </c>
      <c r="F61" s="9" t="s">
        <v>45</v>
      </c>
      <c r="G61" s="9" t="n">
        <v>1</v>
      </c>
      <c r="H61" s="9" t="s">
        <v>67</v>
      </c>
      <c r="I61" s="9" t="s">
        <v>68</v>
      </c>
      <c r="J61" s="9" t="s">
        <v>193</v>
      </c>
    </row>
    <row r="62" customFormat="false" ht="15" hidden="false" customHeight="false" outlineLevel="0" collapsed="false">
      <c r="A62" s="9" t="s">
        <v>210</v>
      </c>
      <c r="B62" s="9" t="s">
        <v>211</v>
      </c>
      <c r="C62" s="9" t="s">
        <v>45</v>
      </c>
      <c r="D62" s="10" t="n">
        <v>0</v>
      </c>
      <c r="E62" s="11" t="n">
        <v>25</v>
      </c>
      <c r="F62" s="9" t="s">
        <v>45</v>
      </c>
      <c r="G62" s="9" t="n">
        <v>1</v>
      </c>
      <c r="H62" s="9" t="s">
        <v>67</v>
      </c>
      <c r="I62" s="9" t="s">
        <v>68</v>
      </c>
      <c r="J62" s="9" t="s">
        <v>193</v>
      </c>
    </row>
    <row r="63" customFormat="false" ht="15" hidden="false" customHeight="false" outlineLevel="0" collapsed="false">
      <c r="A63" s="9" t="s">
        <v>212</v>
      </c>
      <c r="B63" s="9" t="s">
        <v>213</v>
      </c>
      <c r="C63" s="9" t="s">
        <v>45</v>
      </c>
      <c r="D63" s="10" t="n">
        <v>0</v>
      </c>
      <c r="E63" s="11" t="n">
        <v>40</v>
      </c>
      <c r="F63" s="9" t="s">
        <v>45</v>
      </c>
      <c r="G63" s="9" t="n">
        <v>1</v>
      </c>
      <c r="H63" s="9" t="s">
        <v>67</v>
      </c>
      <c r="I63" s="9" t="s">
        <v>68</v>
      </c>
      <c r="J63" s="9" t="s">
        <v>193</v>
      </c>
    </row>
    <row r="64" customFormat="false" ht="15" hidden="false" customHeight="false" outlineLevel="0" collapsed="false">
      <c r="A64" s="9" t="s">
        <v>214</v>
      </c>
      <c r="B64" s="9" t="s">
        <v>215</v>
      </c>
      <c r="C64" s="9" t="s">
        <v>45</v>
      </c>
      <c r="D64" s="10" t="n">
        <v>0</v>
      </c>
      <c r="E64" s="11" t="n">
        <v>55</v>
      </c>
      <c r="F64" s="9" t="s">
        <v>45</v>
      </c>
      <c r="G64" s="9" t="n">
        <v>1</v>
      </c>
      <c r="H64" s="9" t="s">
        <v>67</v>
      </c>
      <c r="I64" s="9" t="s">
        <v>68</v>
      </c>
      <c r="J64" s="9" t="s">
        <v>193</v>
      </c>
    </row>
    <row r="65" customFormat="false" ht="15" hidden="false" customHeight="false" outlineLevel="0" collapsed="false">
      <c r="A65" s="9" t="s">
        <v>216</v>
      </c>
      <c r="B65" s="9" t="s">
        <v>217</v>
      </c>
      <c r="C65" s="9" t="s">
        <v>45</v>
      </c>
      <c r="D65" s="10" t="n">
        <v>0</v>
      </c>
      <c r="E65" s="11" t="n">
        <v>600</v>
      </c>
      <c r="F65" s="9" t="s">
        <v>45</v>
      </c>
      <c r="G65" s="9" t="n">
        <v>1</v>
      </c>
      <c r="H65" s="9" t="s">
        <v>67</v>
      </c>
      <c r="I65" s="9" t="s">
        <v>68</v>
      </c>
      <c r="J65" s="9" t="s">
        <v>193</v>
      </c>
    </row>
    <row r="66" customFormat="false" ht="15" hidden="false" customHeight="false" outlineLevel="0" collapsed="false">
      <c r="A66" s="9" t="s">
        <v>218</v>
      </c>
      <c r="B66" s="9" t="s">
        <v>219</v>
      </c>
      <c r="C66" s="9" t="s">
        <v>45</v>
      </c>
      <c r="D66" s="10" t="n">
        <v>0</v>
      </c>
      <c r="E66" s="11" t="n">
        <v>250</v>
      </c>
      <c r="F66" s="9" t="s">
        <v>45</v>
      </c>
      <c r="G66" s="9" t="n">
        <v>1</v>
      </c>
      <c r="H66" s="9" t="s">
        <v>67</v>
      </c>
      <c r="I66" s="9" t="s">
        <v>68</v>
      </c>
      <c r="J66" s="9" t="s">
        <v>193</v>
      </c>
    </row>
    <row r="67" customFormat="false" ht="15" hidden="false" customHeight="false" outlineLevel="0" collapsed="false">
      <c r="A67" s="9" t="s">
        <v>220</v>
      </c>
      <c r="B67" s="9" t="s">
        <v>221</v>
      </c>
      <c r="C67" s="9" t="s">
        <v>45</v>
      </c>
      <c r="D67" s="10" t="n">
        <v>0</v>
      </c>
      <c r="E67" s="11" t="n">
        <v>120</v>
      </c>
      <c r="F67" s="9" t="s">
        <v>45</v>
      </c>
      <c r="G67" s="9" t="n">
        <v>1</v>
      </c>
      <c r="H67" s="9" t="s">
        <v>67</v>
      </c>
      <c r="I67" s="9" t="s">
        <v>68</v>
      </c>
      <c r="J67" s="9" t="s">
        <v>193</v>
      </c>
    </row>
    <row r="68" customFormat="false" ht="15" hidden="false" customHeight="false" outlineLevel="0" collapsed="false">
      <c r="A68" s="9" t="s">
        <v>222</v>
      </c>
      <c r="B68" s="9" t="s">
        <v>223</v>
      </c>
      <c r="C68" s="9" t="s">
        <v>45</v>
      </c>
      <c r="D68" s="10" t="n">
        <v>0</v>
      </c>
      <c r="E68" s="11" t="n">
        <v>150</v>
      </c>
      <c r="F68" s="9" t="s">
        <v>45</v>
      </c>
      <c r="G68" s="9" t="n">
        <v>1</v>
      </c>
      <c r="H68" s="9" t="s">
        <v>67</v>
      </c>
      <c r="I68" s="9" t="s">
        <v>68</v>
      </c>
      <c r="J68" s="9" t="s">
        <v>193</v>
      </c>
    </row>
    <row r="69" customFormat="false" ht="15" hidden="false" customHeight="false" outlineLevel="0" collapsed="false">
      <c r="A69" s="9" t="s">
        <v>224</v>
      </c>
      <c r="B69" s="9" t="s">
        <v>225</v>
      </c>
      <c r="C69" s="9" t="s">
        <v>45</v>
      </c>
      <c r="D69" s="10" t="n">
        <v>0</v>
      </c>
      <c r="E69" s="11" t="n">
        <v>180</v>
      </c>
      <c r="F69" s="9" t="s">
        <v>45</v>
      </c>
      <c r="G69" s="9" t="n">
        <v>1</v>
      </c>
      <c r="H69" s="9" t="s">
        <v>67</v>
      </c>
      <c r="I69" s="9" t="s">
        <v>68</v>
      </c>
      <c r="J69" s="9" t="s">
        <v>193</v>
      </c>
    </row>
    <row r="70" customFormat="false" ht="15" hidden="false" customHeight="false" outlineLevel="0" collapsed="false">
      <c r="A70" s="9" t="s">
        <v>226</v>
      </c>
      <c r="B70" s="9" t="s">
        <v>227</v>
      </c>
      <c r="C70" s="9" t="s">
        <v>45</v>
      </c>
      <c r="D70" s="10" t="n">
        <v>0</v>
      </c>
      <c r="E70" s="11" t="n">
        <v>60</v>
      </c>
      <c r="F70" s="9" t="s">
        <v>45</v>
      </c>
      <c r="G70" s="9" t="n">
        <v>1</v>
      </c>
      <c r="H70" s="9" t="s">
        <v>67</v>
      </c>
      <c r="I70" s="9" t="s">
        <v>68</v>
      </c>
      <c r="J70" s="9" t="s">
        <v>193</v>
      </c>
    </row>
    <row r="71" customFormat="false" ht="15" hidden="false" customHeight="false" outlineLevel="0" collapsed="false">
      <c r="A71" s="9" t="s">
        <v>228</v>
      </c>
      <c r="B71" s="9" t="s">
        <v>229</v>
      </c>
      <c r="C71" s="9" t="s">
        <v>45</v>
      </c>
      <c r="D71" s="10" t="n">
        <v>0</v>
      </c>
      <c r="E71" s="11" t="n">
        <v>150</v>
      </c>
      <c r="F71" s="9" t="s">
        <v>45</v>
      </c>
      <c r="G71" s="9" t="n">
        <v>1</v>
      </c>
      <c r="H71" s="9" t="s">
        <v>67</v>
      </c>
      <c r="I71" s="9" t="s">
        <v>68</v>
      </c>
      <c r="J71" s="9" t="s">
        <v>193</v>
      </c>
    </row>
    <row r="72" customFormat="false" ht="15" hidden="false" customHeight="false" outlineLevel="0" collapsed="false">
      <c r="A72" s="9" t="s">
        <v>230</v>
      </c>
      <c r="B72" s="9" t="s">
        <v>231</v>
      </c>
      <c r="C72" s="9" t="s">
        <v>45</v>
      </c>
      <c r="D72" s="10" t="n">
        <v>0</v>
      </c>
      <c r="E72" s="11" t="n">
        <v>150</v>
      </c>
      <c r="F72" s="9" t="s">
        <v>45</v>
      </c>
      <c r="G72" s="9" t="n">
        <v>1</v>
      </c>
      <c r="H72" s="9" t="s">
        <v>67</v>
      </c>
      <c r="I72" s="9" t="s">
        <v>68</v>
      </c>
      <c r="J72" s="9" t="s">
        <v>193</v>
      </c>
    </row>
    <row r="73" customFormat="false" ht="15" hidden="false" customHeight="false" outlineLevel="0" collapsed="false">
      <c r="A73" s="9" t="s">
        <v>232</v>
      </c>
      <c r="B73" s="9" t="s">
        <v>233</v>
      </c>
      <c r="C73" s="9" t="s">
        <v>45</v>
      </c>
      <c r="D73" s="10" t="n">
        <v>0</v>
      </c>
      <c r="E73" s="11" t="n">
        <v>400</v>
      </c>
      <c r="F73" s="9" t="s">
        <v>45</v>
      </c>
      <c r="G73" s="9" t="n">
        <v>1</v>
      </c>
      <c r="H73" s="9" t="s">
        <v>67</v>
      </c>
      <c r="I73" s="9" t="s">
        <v>68</v>
      </c>
      <c r="J73" s="9" t="s">
        <v>193</v>
      </c>
    </row>
    <row r="74" customFormat="false" ht="15" hidden="false" customHeight="false" outlineLevel="0" collapsed="false">
      <c r="A74" s="9" t="s">
        <v>234</v>
      </c>
      <c r="B74" s="9" t="s">
        <v>235</v>
      </c>
      <c r="C74" s="9" t="s">
        <v>45</v>
      </c>
      <c r="D74" s="10" t="n">
        <v>0</v>
      </c>
      <c r="E74" s="11" t="n">
        <v>120</v>
      </c>
      <c r="F74" s="9" t="s">
        <v>45</v>
      </c>
      <c r="G74" s="9" t="n">
        <v>1</v>
      </c>
      <c r="H74" s="9" t="s">
        <v>67</v>
      </c>
      <c r="I74" s="9" t="s">
        <v>68</v>
      </c>
      <c r="J74" s="9" t="s">
        <v>193</v>
      </c>
    </row>
    <row r="75" customFormat="false" ht="15" hidden="false" customHeight="false" outlineLevel="0" collapsed="false">
      <c r="A75" s="9" t="s">
        <v>236</v>
      </c>
      <c r="B75" s="9" t="s">
        <v>237</v>
      </c>
      <c r="C75" s="9" t="s">
        <v>45</v>
      </c>
      <c r="D75" s="10" t="n">
        <v>0</v>
      </c>
      <c r="E75" s="11" t="n">
        <v>4500</v>
      </c>
      <c r="F75" s="9" t="s">
        <v>45</v>
      </c>
      <c r="G75" s="9" t="n">
        <v>1</v>
      </c>
      <c r="H75" s="9" t="s">
        <v>67</v>
      </c>
      <c r="I75" s="9" t="s">
        <v>68</v>
      </c>
      <c r="J75" s="9" t="s">
        <v>193</v>
      </c>
    </row>
    <row r="76" customFormat="false" ht="15" hidden="false" customHeight="false" outlineLevel="0" collapsed="false">
      <c r="A76" s="9" t="s">
        <v>238</v>
      </c>
      <c r="B76" s="9" t="s">
        <v>239</v>
      </c>
      <c r="C76" s="9" t="s">
        <v>45</v>
      </c>
      <c r="D76" s="10" t="n">
        <v>0</v>
      </c>
      <c r="E76" s="11" t="n">
        <v>3200</v>
      </c>
      <c r="F76" s="9" t="s">
        <v>45</v>
      </c>
      <c r="G76" s="9" t="n">
        <v>1</v>
      </c>
      <c r="H76" s="9" t="s">
        <v>67</v>
      </c>
      <c r="I76" s="9" t="s">
        <v>68</v>
      </c>
      <c r="J76" s="9" t="s">
        <v>193</v>
      </c>
    </row>
    <row r="77" customFormat="false" ht="15" hidden="false" customHeight="false" outlineLevel="0" collapsed="false">
      <c r="A77" s="9" t="s">
        <v>240</v>
      </c>
      <c r="B77" s="9" t="s">
        <v>241</v>
      </c>
      <c r="C77" s="9" t="s">
        <v>45</v>
      </c>
      <c r="D77" s="10" t="n">
        <v>0</v>
      </c>
      <c r="E77" s="11" t="n">
        <v>2800</v>
      </c>
      <c r="F77" s="9" t="s">
        <v>45</v>
      </c>
      <c r="G77" s="9" t="n">
        <v>1</v>
      </c>
      <c r="H77" s="9" t="s">
        <v>67</v>
      </c>
      <c r="I77" s="9" t="s">
        <v>68</v>
      </c>
      <c r="J77" s="9" t="s">
        <v>193</v>
      </c>
    </row>
    <row r="78" customFormat="false" ht="15" hidden="false" customHeight="false" outlineLevel="0" collapsed="false">
      <c r="A78" s="9" t="s">
        <v>242</v>
      </c>
      <c r="B78" s="9" t="s">
        <v>243</v>
      </c>
      <c r="C78" s="9" t="s">
        <v>45</v>
      </c>
      <c r="D78" s="10" t="n">
        <v>0</v>
      </c>
      <c r="E78" s="11" t="n">
        <v>2000</v>
      </c>
      <c r="F78" s="9" t="s">
        <v>45</v>
      </c>
      <c r="G78" s="9" t="n">
        <v>1</v>
      </c>
      <c r="H78" s="9" t="s">
        <v>67</v>
      </c>
      <c r="I78" s="9" t="s">
        <v>68</v>
      </c>
      <c r="J78" s="9" t="s">
        <v>193</v>
      </c>
    </row>
    <row r="79" customFormat="false" ht="15" hidden="false" customHeight="false" outlineLevel="0" collapsed="false">
      <c r="A79" s="9" t="s">
        <v>244</v>
      </c>
      <c r="B79" s="9" t="s">
        <v>245</v>
      </c>
      <c r="C79" s="9" t="s">
        <v>45</v>
      </c>
      <c r="D79" s="10" t="n">
        <v>0</v>
      </c>
      <c r="E79" s="11" t="n">
        <v>2500</v>
      </c>
      <c r="F79" s="9" t="s">
        <v>45</v>
      </c>
      <c r="G79" s="9" t="n">
        <v>1</v>
      </c>
      <c r="H79" s="9" t="s">
        <v>67</v>
      </c>
      <c r="I79" s="9" t="s">
        <v>68</v>
      </c>
      <c r="J79" s="9" t="s">
        <v>193</v>
      </c>
    </row>
    <row r="80" customFormat="false" ht="15" hidden="false" customHeight="false" outlineLevel="0" collapsed="false">
      <c r="A80" s="9" t="s">
        <v>246</v>
      </c>
      <c r="B80" s="9" t="s">
        <v>247</v>
      </c>
      <c r="C80" s="9" t="s">
        <v>45</v>
      </c>
      <c r="D80" s="10" t="n">
        <v>0</v>
      </c>
      <c r="E80" s="11" t="n">
        <v>9000</v>
      </c>
      <c r="F80" s="9" t="s">
        <v>45</v>
      </c>
      <c r="G80" s="9" t="n">
        <v>1</v>
      </c>
      <c r="H80" s="9" t="s">
        <v>67</v>
      </c>
      <c r="I80" s="9" t="s">
        <v>68</v>
      </c>
      <c r="J80" s="9" t="s">
        <v>248</v>
      </c>
    </row>
    <row r="81" customFormat="false" ht="15" hidden="false" customHeight="false" outlineLevel="0" collapsed="false">
      <c r="A81" s="9" t="s">
        <v>249</v>
      </c>
      <c r="B81" s="9" t="s">
        <v>250</v>
      </c>
      <c r="C81" s="9" t="s">
        <v>39</v>
      </c>
      <c r="D81" s="10" t="n">
        <v>0</v>
      </c>
      <c r="E81" s="11" t="n">
        <v>3500</v>
      </c>
      <c r="F81" s="9" t="s">
        <v>39</v>
      </c>
      <c r="G81" s="9" t="n">
        <v>1</v>
      </c>
      <c r="H81" s="9" t="s">
        <v>67</v>
      </c>
      <c r="I81" s="9" t="s">
        <v>68</v>
      </c>
      <c r="J81" s="9" t="s">
        <v>248</v>
      </c>
    </row>
    <row r="82" customFormat="false" ht="15" hidden="false" customHeight="false" outlineLevel="0" collapsed="false">
      <c r="A82" s="9" t="s">
        <v>251</v>
      </c>
      <c r="B82" s="9" t="s">
        <v>252</v>
      </c>
      <c r="C82" s="9" t="s">
        <v>45</v>
      </c>
      <c r="D82" s="10" t="n">
        <v>0</v>
      </c>
      <c r="E82" s="11" t="n">
        <v>3000</v>
      </c>
      <c r="F82" s="9" t="s">
        <v>45</v>
      </c>
      <c r="G82" s="9" t="n">
        <v>1</v>
      </c>
      <c r="H82" s="9" t="s">
        <v>67</v>
      </c>
      <c r="I82" s="9" t="s">
        <v>68</v>
      </c>
      <c r="J82" s="9" t="s">
        <v>248</v>
      </c>
    </row>
    <row r="83" customFormat="false" ht="15" hidden="false" customHeight="false" outlineLevel="0" collapsed="false">
      <c r="A83" s="9" t="s">
        <v>253</v>
      </c>
      <c r="B83" s="9" t="s">
        <v>254</v>
      </c>
      <c r="C83" s="9" t="s">
        <v>118</v>
      </c>
      <c r="D83" s="10" t="n">
        <v>0</v>
      </c>
      <c r="E83" s="11" t="n">
        <v>120</v>
      </c>
      <c r="F83" s="9" t="s">
        <v>118</v>
      </c>
      <c r="G83" s="9" t="n">
        <v>1</v>
      </c>
      <c r="H83" s="9" t="s">
        <v>67</v>
      </c>
      <c r="I83" s="9" t="s">
        <v>68</v>
      </c>
      <c r="J83" s="9" t="s">
        <v>193</v>
      </c>
    </row>
    <row r="84" customFormat="false" ht="15" hidden="false" customHeight="false" outlineLevel="0" collapsed="false">
      <c r="A84" s="9" t="s">
        <v>255</v>
      </c>
      <c r="B84" s="9" t="s">
        <v>256</v>
      </c>
      <c r="C84" s="9" t="s">
        <v>45</v>
      </c>
      <c r="D84" s="10" t="n">
        <v>0</v>
      </c>
      <c r="E84" s="11" t="n">
        <v>250</v>
      </c>
      <c r="F84" s="9" t="s">
        <v>45</v>
      </c>
      <c r="G84" s="9" t="n">
        <v>1</v>
      </c>
      <c r="H84" s="9" t="s">
        <v>67</v>
      </c>
      <c r="I84" s="9" t="s">
        <v>68</v>
      </c>
      <c r="J84" s="9" t="s">
        <v>257</v>
      </c>
    </row>
    <row r="86" customFormat="false" ht="15" hidden="false" customHeight="false" outlineLevel="0" collapsed="false">
      <c r="A86" s="3" t="s">
        <v>258</v>
      </c>
    </row>
    <row r="87" customFormat="false" ht="15" hidden="false" customHeight="false" outlineLevel="0" collapsed="false">
      <c r="A87" s="2" t="s">
        <v>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7"/>
    <col collapsed="false" customWidth="true" hidden="false" outlineLevel="0" max="4" min="4" style="0" width="18"/>
    <col collapsed="false" customWidth="true" hidden="false" outlineLevel="0" max="5" min="5" style="0" width="46"/>
    <col collapsed="false" customWidth="true" hidden="false" outlineLevel="0" max="7" min="6" style="0" width="30"/>
    <col collapsed="false" customWidth="true" hidden="false" outlineLevel="0" max="8" min="8" style="0" width="10"/>
    <col collapsed="false" customWidth="true" hidden="false" outlineLevel="0" max="9" min="9" style="0" width="6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3" min="12" style="0" width="8"/>
    <col collapsed="false" customWidth="true" hidden="false" outlineLevel="0" max="14" min="14" style="0" width="30"/>
    <col collapsed="false" customWidth="true" hidden="false" outlineLevel="0" max="15" min="15" style="0" width="11"/>
    <col collapsed="false" customWidth="true" hidden="false" outlineLevel="0" max="16" min="16" style="0" width="6"/>
    <col collapsed="false" customWidth="true" hidden="false" outlineLevel="0" max="17" min="17" style="0" width="8"/>
    <col collapsed="false" customWidth="true" hidden="false" outlineLevel="0" max="18" min="18" style="0" width="11"/>
    <col collapsed="false" customWidth="true" hidden="false" outlineLevel="0" max="19" min="19" style="0" width="10"/>
    <col collapsed="false" customWidth="true" hidden="false" outlineLevel="0" max="20" min="20" style="0" width="13"/>
    <col collapsed="false" customWidth="true" hidden="false" outlineLevel="0" max="21" min="21" style="0" width="9"/>
  </cols>
  <sheetData>
    <row r="1" customFormat="false" ht="17.35" hidden="false" customHeight="false" outlineLevel="0" collapsed="false">
      <c r="A1" s="1" t="s">
        <v>260</v>
      </c>
    </row>
    <row r="2" customFormat="false" ht="15" hidden="false" customHeight="false" outlineLevel="0" collapsed="false">
      <c r="A2" s="2" t="s">
        <v>261</v>
      </c>
    </row>
    <row r="4" customFormat="false" ht="43.25" hidden="false" customHeight="false" outlineLevel="0" collapsed="false">
      <c r="A4" s="8" t="s">
        <v>262</v>
      </c>
      <c r="B4" s="8" t="s">
        <v>263</v>
      </c>
      <c r="C4" s="8" t="s">
        <v>264</v>
      </c>
      <c r="D4" s="8" t="s">
        <v>265</v>
      </c>
      <c r="E4" s="8" t="s">
        <v>266</v>
      </c>
      <c r="F4" s="8" t="s">
        <v>267</v>
      </c>
      <c r="G4" s="8" t="s">
        <v>268</v>
      </c>
      <c r="H4" s="8" t="s">
        <v>269</v>
      </c>
      <c r="I4" s="8" t="s">
        <v>270</v>
      </c>
      <c r="J4" s="8" t="s">
        <v>271</v>
      </c>
      <c r="K4" s="8" t="s">
        <v>272</v>
      </c>
      <c r="L4" s="8" t="s">
        <v>273</v>
      </c>
      <c r="M4" s="8" t="s">
        <v>274</v>
      </c>
      <c r="N4" s="8" t="s">
        <v>29</v>
      </c>
      <c r="O4" s="8" t="s">
        <v>275</v>
      </c>
      <c r="P4" s="8" t="s">
        <v>7</v>
      </c>
      <c r="Q4" s="8" t="s">
        <v>30</v>
      </c>
      <c r="R4" s="8" t="s">
        <v>276</v>
      </c>
      <c r="S4" s="8" t="s">
        <v>277</v>
      </c>
      <c r="T4" s="8" t="s">
        <v>278</v>
      </c>
      <c r="U4" s="8" t="s">
        <v>279</v>
      </c>
    </row>
    <row r="5" customFormat="false" ht="43.25" hidden="false" customHeight="false" outlineLevel="0" collapsed="false">
      <c r="A5" s="6" t="s">
        <v>280</v>
      </c>
      <c r="B5" s="6" t="s">
        <v>281</v>
      </c>
      <c r="C5" s="6" t="s">
        <v>282</v>
      </c>
      <c r="D5" s="9" t="s">
        <v>283</v>
      </c>
      <c r="E5" s="9" t="s">
        <v>284</v>
      </c>
      <c r="F5" s="9" t="s">
        <v>285</v>
      </c>
      <c r="G5" s="9" t="s">
        <v>286</v>
      </c>
      <c r="H5" s="12" t="n">
        <v>1</v>
      </c>
      <c r="I5" s="6" t="s">
        <v>287</v>
      </c>
      <c r="J5" s="6" t="s">
        <v>288</v>
      </c>
      <c r="K5" s="6"/>
      <c r="L5" s="6"/>
      <c r="M5" s="6"/>
      <c r="N5" s="13"/>
      <c r="O5" s="12"/>
      <c r="P5" s="14"/>
      <c r="Q5" s="15"/>
      <c r="R5" s="12"/>
      <c r="S5" s="16"/>
      <c r="T5" s="7" t="n">
        <v>0</v>
      </c>
      <c r="U5" s="17"/>
    </row>
    <row r="6" customFormat="false" ht="32.8" hidden="false" customHeight="false" outlineLevel="0" collapsed="false">
      <c r="A6" s="6" t="s">
        <v>289</v>
      </c>
      <c r="B6" s="6" t="s">
        <v>290</v>
      </c>
      <c r="C6" s="6" t="s">
        <v>291</v>
      </c>
      <c r="D6" s="9" t="s">
        <v>292</v>
      </c>
      <c r="E6" s="9" t="s">
        <v>293</v>
      </c>
      <c r="F6" s="9" t="s">
        <v>294</v>
      </c>
      <c r="G6" s="9" t="s">
        <v>295</v>
      </c>
      <c r="H6" s="12" t="n">
        <v>2550.366</v>
      </c>
      <c r="I6" s="6" t="s">
        <v>71</v>
      </c>
      <c r="J6" s="6" t="s">
        <v>296</v>
      </c>
      <c r="K6" s="6"/>
      <c r="L6" s="6" t="s">
        <v>297</v>
      </c>
      <c r="M6" s="6"/>
      <c r="N6" s="13"/>
      <c r="O6" s="12"/>
      <c r="P6" s="14"/>
      <c r="Q6" s="15"/>
      <c r="R6" s="12"/>
      <c r="S6" s="16"/>
      <c r="T6" s="7" t="n">
        <v>0</v>
      </c>
      <c r="U6" s="17"/>
    </row>
    <row r="7" customFormat="false" ht="15" hidden="false" customHeight="false" outlineLevel="0" collapsed="false">
      <c r="A7" s="6" t="s">
        <v>289</v>
      </c>
      <c r="B7" s="6" t="s">
        <v>290</v>
      </c>
      <c r="C7" s="6" t="s">
        <v>298</v>
      </c>
      <c r="D7" s="9" t="s">
        <v>299</v>
      </c>
      <c r="E7" s="9" t="s">
        <v>300</v>
      </c>
      <c r="F7" s="9" t="s">
        <v>301</v>
      </c>
      <c r="G7" s="9" t="s">
        <v>302</v>
      </c>
      <c r="H7" s="12" t="n">
        <v>33.688</v>
      </c>
      <c r="I7" s="6" t="s">
        <v>71</v>
      </c>
      <c r="J7" s="6" t="s">
        <v>303</v>
      </c>
      <c r="K7" s="6"/>
      <c r="L7" s="6" t="s">
        <v>297</v>
      </c>
      <c r="M7" s="6"/>
      <c r="N7" s="13"/>
      <c r="O7" s="12"/>
      <c r="P7" s="14"/>
      <c r="Q7" s="15"/>
      <c r="R7" s="12"/>
      <c r="S7" s="16"/>
      <c r="T7" s="7" t="n">
        <v>0</v>
      </c>
      <c r="U7" s="17"/>
    </row>
    <row r="8" customFormat="false" ht="22.35" hidden="false" customHeight="false" outlineLevel="0" collapsed="false">
      <c r="A8" s="6" t="s">
        <v>289</v>
      </c>
      <c r="B8" s="6" t="s">
        <v>290</v>
      </c>
      <c r="C8" s="6" t="s">
        <v>304</v>
      </c>
      <c r="D8" s="9" t="s">
        <v>305</v>
      </c>
      <c r="E8" s="9" t="s">
        <v>306</v>
      </c>
      <c r="F8" s="9" t="s">
        <v>307</v>
      </c>
      <c r="G8" s="9" t="s">
        <v>308</v>
      </c>
      <c r="H8" s="12" t="n">
        <v>264.268</v>
      </c>
      <c r="I8" s="6" t="s">
        <v>71</v>
      </c>
      <c r="J8" s="6" t="s">
        <v>309</v>
      </c>
      <c r="K8" s="6"/>
      <c r="L8" s="6" t="s">
        <v>297</v>
      </c>
      <c r="M8" s="6"/>
      <c r="N8" s="13"/>
      <c r="O8" s="12"/>
      <c r="P8" s="14"/>
      <c r="Q8" s="15"/>
      <c r="R8" s="12"/>
      <c r="S8" s="16"/>
      <c r="T8" s="7" t="n">
        <v>0</v>
      </c>
      <c r="U8" s="17"/>
    </row>
    <row r="9" customFormat="false" ht="22.35" hidden="false" customHeight="false" outlineLevel="0" collapsed="false">
      <c r="A9" s="6" t="s">
        <v>310</v>
      </c>
      <c r="B9" s="6" t="s">
        <v>311</v>
      </c>
      <c r="C9" s="6" t="s">
        <v>312</v>
      </c>
      <c r="D9" s="9" t="s">
        <v>313</v>
      </c>
      <c r="E9" s="9" t="s">
        <v>314</v>
      </c>
      <c r="F9" s="9" t="s">
        <v>315</v>
      </c>
      <c r="G9" s="9" t="s">
        <v>316</v>
      </c>
      <c r="H9" s="12" t="n">
        <v>6.459</v>
      </c>
      <c r="I9" s="6" t="s">
        <v>101</v>
      </c>
      <c r="J9" s="6" t="s">
        <v>317</v>
      </c>
      <c r="K9" s="6"/>
      <c r="L9" s="6"/>
      <c r="M9" s="6" t="s">
        <v>119</v>
      </c>
      <c r="N9" s="13" t="str">
        <f aca="false">IFERROR(INDEX(Rates!$B$5:$B$84,MATCH(M9,Rates!$A$5:$A$84,0)),"")</f>
        <v>Termiticide: bifenthrin 10% EC (1 L makes 200 L emulsion)</v>
      </c>
      <c r="O9" s="12" t="n">
        <v>6.459</v>
      </c>
      <c r="P9" s="14" t="str">
        <f aca="false">IFERROR(INDEX(Rates!$C$5:$C$84,MATCH(M9,Rates!$A$5:$A$84,0)),"")</f>
        <v>L</v>
      </c>
      <c r="Q9" s="15" t="n">
        <f aca="false">IFERROR(INDEX(Rates!$D$5:$D$84,MATCH(M9,Rates!$A$5:$A$84,0)),0)</f>
        <v>0.05</v>
      </c>
      <c r="R9" s="12" t="n">
        <f aca="false">O9*(1+Q9)</f>
        <v>6.78195</v>
      </c>
      <c r="S9" s="16" t="n">
        <f aca="false">IFERROR(INDEX(Rates!$E$5:$E$84,MATCH(M9,Rates!$A$5:$A$84,0)),0)</f>
        <v>3500</v>
      </c>
      <c r="T9" s="7" t="n">
        <f aca="false">R9*S9</f>
        <v>23736.825</v>
      </c>
      <c r="U9" s="17" t="str">
        <f aca="false">IF(M9="BRK",R9/2000,IF(OR(M9="SNDC",M9="SNDM",M9="CRS",M9="KHG",M9="EARTH"),R9/100,""))</f>
        <v/>
      </c>
    </row>
    <row r="10" customFormat="false" ht="22.35" hidden="false" customHeight="false" outlineLevel="0" collapsed="false">
      <c r="A10" s="6" t="s">
        <v>310</v>
      </c>
      <c r="B10" s="6" t="s">
        <v>311</v>
      </c>
      <c r="C10" s="6" t="s">
        <v>318</v>
      </c>
      <c r="D10" s="9" t="s">
        <v>319</v>
      </c>
      <c r="E10" s="9" t="s">
        <v>320</v>
      </c>
      <c r="F10" s="9" t="s">
        <v>321</v>
      </c>
      <c r="G10" s="9" t="s">
        <v>322</v>
      </c>
      <c r="H10" s="12" t="n">
        <v>4.213</v>
      </c>
      <c r="I10" s="6" t="s">
        <v>101</v>
      </c>
      <c r="J10" s="6" t="s">
        <v>317</v>
      </c>
      <c r="K10" s="6"/>
      <c r="L10" s="6"/>
      <c r="M10" s="6" t="s">
        <v>119</v>
      </c>
      <c r="N10" s="13" t="str">
        <f aca="false">IFERROR(INDEX(Rates!$B$5:$B$84,MATCH(M10,Rates!$A$5:$A$84,0)),"")</f>
        <v>Termiticide: bifenthrin 10% EC (1 L makes 200 L emulsion)</v>
      </c>
      <c r="O10" s="12" t="n">
        <v>4.2127</v>
      </c>
      <c r="P10" s="14" t="str">
        <f aca="false">IFERROR(INDEX(Rates!$C$5:$C$84,MATCH(M10,Rates!$A$5:$A$84,0)),"")</f>
        <v>L</v>
      </c>
      <c r="Q10" s="15" t="n">
        <f aca="false">IFERROR(INDEX(Rates!$D$5:$D$84,MATCH(M10,Rates!$A$5:$A$84,0)),0)</f>
        <v>0.05</v>
      </c>
      <c r="R10" s="12" t="n">
        <f aca="false">O10*(1+Q10)</f>
        <v>4.423335</v>
      </c>
      <c r="S10" s="16" t="n">
        <f aca="false">IFERROR(INDEX(Rates!$E$5:$E$84,MATCH(M10,Rates!$A$5:$A$84,0)),0)</f>
        <v>3500</v>
      </c>
      <c r="T10" s="7" t="n">
        <f aca="false">R10*S10</f>
        <v>15481.6725</v>
      </c>
      <c r="U10" s="17" t="str">
        <f aca="false">IF(M10="BRK",R10/2000,IF(OR(M10="SNDC",M10="SNDM",M10="CRS",M10="KHG",M10="EARTH"),R10/100,""))</f>
        <v/>
      </c>
    </row>
    <row r="11" customFormat="false" ht="22.35" hidden="false" customHeight="false" outlineLevel="0" collapsed="false">
      <c r="A11" s="6" t="s">
        <v>310</v>
      </c>
      <c r="B11" s="6" t="s">
        <v>311</v>
      </c>
      <c r="C11" s="6" t="s">
        <v>323</v>
      </c>
      <c r="D11" s="9" t="s">
        <v>324</v>
      </c>
      <c r="E11" s="9" t="s">
        <v>325</v>
      </c>
      <c r="F11" s="9" t="s">
        <v>326</v>
      </c>
      <c r="G11" s="9" t="s">
        <v>327</v>
      </c>
      <c r="H11" s="12" t="n">
        <v>0.596</v>
      </c>
      <c r="I11" s="6" t="s">
        <v>101</v>
      </c>
      <c r="J11" s="6" t="s">
        <v>317</v>
      </c>
      <c r="K11" s="6"/>
      <c r="L11" s="6"/>
      <c r="M11" s="6" t="s">
        <v>119</v>
      </c>
      <c r="N11" s="13" t="str">
        <f aca="false">IFERROR(INDEX(Rates!$B$5:$B$84,MATCH(M11,Rates!$A$5:$A$84,0)),"")</f>
        <v>Termiticide: bifenthrin 10% EC (1 L makes 200 L emulsion)</v>
      </c>
      <c r="O11" s="12" t="n">
        <v>0.5956</v>
      </c>
      <c r="P11" s="14" t="str">
        <f aca="false">IFERROR(INDEX(Rates!$C$5:$C$84,MATCH(M11,Rates!$A$5:$A$84,0)),"")</f>
        <v>L</v>
      </c>
      <c r="Q11" s="15" t="n">
        <f aca="false">IFERROR(INDEX(Rates!$D$5:$D$84,MATCH(M11,Rates!$A$5:$A$84,0)),0)</f>
        <v>0.05</v>
      </c>
      <c r="R11" s="12" t="n">
        <f aca="false">O11*(1+Q11)</f>
        <v>0.62538</v>
      </c>
      <c r="S11" s="16" t="n">
        <f aca="false">IFERROR(INDEX(Rates!$E$5:$E$84,MATCH(M11,Rates!$A$5:$A$84,0)),0)</f>
        <v>3500</v>
      </c>
      <c r="T11" s="7" t="n">
        <f aca="false">R11*S11</f>
        <v>2188.83</v>
      </c>
      <c r="U11" s="17" t="str">
        <f aca="false">IF(M11="BRK",R11/2000,IF(OR(M11="SNDC",M11="SNDM",M11="CRS",M11="KHG",M11="EARTH"),R11/100,""))</f>
        <v/>
      </c>
    </row>
    <row r="12" customFormat="false" ht="22.35" hidden="false" customHeight="false" outlineLevel="0" collapsed="false">
      <c r="A12" s="6" t="s">
        <v>328</v>
      </c>
      <c r="B12" s="6" t="s">
        <v>329</v>
      </c>
      <c r="C12" s="6" t="s">
        <v>330</v>
      </c>
      <c r="D12" s="9" t="s">
        <v>292</v>
      </c>
      <c r="E12" s="9" t="s">
        <v>331</v>
      </c>
      <c r="F12" s="9" t="s">
        <v>332</v>
      </c>
      <c r="G12" s="9" t="s">
        <v>333</v>
      </c>
      <c r="H12" s="12" t="n">
        <v>231.851</v>
      </c>
      <c r="I12" s="6" t="s">
        <v>71</v>
      </c>
      <c r="J12" s="6" t="s">
        <v>334</v>
      </c>
      <c r="K12" s="6" t="s">
        <v>329</v>
      </c>
      <c r="L12" s="6"/>
      <c r="M12" s="6" t="s">
        <v>37</v>
      </c>
      <c r="N12" s="13" t="str">
        <f aca="false">IFERROR(INDEX(Rates!$B$5:$B$84,MATCH(M12,Rates!$A$5:$A$84,0)),"")</f>
        <v>Cement OPC, 50 kg bag (Lucky / Bestway / Maple Leaf)</v>
      </c>
      <c r="O12" s="12" t="n">
        <v>22.4004</v>
      </c>
      <c r="P12" s="14" t="str">
        <f aca="false">IFERROR(INDEX(Rates!$C$5:$C$84,MATCH(M12,Rates!$A$5:$A$84,0)),"")</f>
        <v>bag</v>
      </c>
      <c r="Q12" s="15" t="n">
        <f aca="false">IFERROR(INDEX(Rates!$D$5:$D$84,MATCH(M12,Rates!$A$5:$A$84,0)),0)</f>
        <v>0.03</v>
      </c>
      <c r="R12" s="12" t="n">
        <f aca="false">O12*(1+Q12)</f>
        <v>23.072412</v>
      </c>
      <c r="S12" s="16" t="n">
        <f aca="false">IFERROR(INDEX(Rates!$E$5:$E$84,MATCH(M12,Rates!$A$5:$A$84,0)),0)</f>
        <v>1560</v>
      </c>
      <c r="T12" s="7" t="n">
        <f aca="false">R12*S12</f>
        <v>35992.96272</v>
      </c>
      <c r="U12" s="17" t="str">
        <f aca="false">IF(M12="BRK",R12/2000,IF(OR(M12="SNDC",M12="SNDM",M12="CRS",M12="KHG",M12="EARTH"),R12/100,""))</f>
        <v/>
      </c>
    </row>
    <row r="13" customFormat="false" ht="15" hidden="false" customHeight="false" outlineLevel="0" collapsed="false">
      <c r="A13" s="6" t="s">
        <v>328</v>
      </c>
      <c r="B13" s="6" t="s">
        <v>329</v>
      </c>
      <c r="C13" s="6" t="s">
        <v>330</v>
      </c>
      <c r="D13" s="9"/>
      <c r="E13" s="9"/>
      <c r="F13" s="9"/>
      <c r="G13" s="9"/>
      <c r="H13" s="12"/>
      <c r="I13" s="6"/>
      <c r="J13" s="6" t="s">
        <v>334</v>
      </c>
      <c r="K13" s="6" t="s">
        <v>329</v>
      </c>
      <c r="L13" s="6"/>
      <c r="M13" s="6" t="s">
        <v>69</v>
      </c>
      <c r="N13" s="13" t="str">
        <f aca="false">IFERROR(INDEX(Rates!$B$5:$B$84,MATCH(M13,Rates!$A$5:$A$84,0)),"")</f>
        <v>Chenab sand (concrete, screed)</v>
      </c>
      <c r="O13" s="12" t="n">
        <v>112.0021</v>
      </c>
      <c r="P13" s="14" t="str">
        <f aca="false">IFERROR(INDEX(Rates!$C$5:$C$84,MATCH(M13,Rates!$A$5:$A$84,0)),"")</f>
        <v>cft</v>
      </c>
      <c r="Q13" s="15" t="n">
        <f aca="false">IFERROR(INDEX(Rates!$D$5:$D$84,MATCH(M13,Rates!$A$5:$A$84,0)),0)</f>
        <v>0.08</v>
      </c>
      <c r="R13" s="12" t="n">
        <f aca="false">O13*(1+Q13)</f>
        <v>120.962268</v>
      </c>
      <c r="S13" s="16" t="n">
        <f aca="false">IFERROR(INDEX(Rates!$E$5:$E$84,MATCH(M13,Rates!$A$5:$A$84,0)),0)</f>
        <v>65</v>
      </c>
      <c r="T13" s="7" t="n">
        <f aca="false">R13*S13</f>
        <v>7862.54742</v>
      </c>
      <c r="U13" s="17" t="n">
        <f aca="false">IF(M13="BRK",R13/2000,IF(OR(M13="SNDC",M13="SNDM",M13="CRS",M13="KHG",M13="EARTH"),R13/100,""))</f>
        <v>1.20962268</v>
      </c>
    </row>
    <row r="14" customFormat="false" ht="15" hidden="false" customHeight="false" outlineLevel="0" collapsed="false">
      <c r="A14" s="6" t="s">
        <v>328</v>
      </c>
      <c r="B14" s="6" t="s">
        <v>329</v>
      </c>
      <c r="C14" s="6" t="s">
        <v>330</v>
      </c>
      <c r="D14" s="9"/>
      <c r="E14" s="9"/>
      <c r="F14" s="9"/>
      <c r="G14" s="9"/>
      <c r="H14" s="12"/>
      <c r="I14" s="6"/>
      <c r="J14" s="6" t="s">
        <v>334</v>
      </c>
      <c r="K14" s="6" t="s">
        <v>329</v>
      </c>
      <c r="L14" s="6"/>
      <c r="M14" s="6" t="s">
        <v>79</v>
      </c>
      <c r="N14" s="13" t="str">
        <f aca="false">IFERROR(INDEX(Rates!$B$5:$B$84,MATCH(M14,Rates!$A$5:$A$84,0)),"")</f>
        <v>Crush ¾" down, Sargodha (bajri)</v>
      </c>
      <c r="O14" s="12" t="n">
        <v>224.0042</v>
      </c>
      <c r="P14" s="14" t="str">
        <f aca="false">IFERROR(INDEX(Rates!$C$5:$C$84,MATCH(M14,Rates!$A$5:$A$84,0)),"")</f>
        <v>cft</v>
      </c>
      <c r="Q14" s="15" t="n">
        <f aca="false">IFERROR(INDEX(Rates!$D$5:$D$84,MATCH(M14,Rates!$A$5:$A$84,0)),0)</f>
        <v>0.05</v>
      </c>
      <c r="R14" s="12" t="n">
        <f aca="false">O14*(1+Q14)</f>
        <v>235.20441</v>
      </c>
      <c r="S14" s="16" t="n">
        <f aca="false">IFERROR(INDEX(Rates!$E$5:$E$84,MATCH(M14,Rates!$A$5:$A$84,0)),0)</f>
        <v>110</v>
      </c>
      <c r="T14" s="7" t="n">
        <f aca="false">R14*S14</f>
        <v>25872.4851</v>
      </c>
      <c r="U14" s="17" t="n">
        <f aca="false">IF(M14="BRK",R14/2000,IF(OR(M14="SNDC",M14="SNDM",M14="CRS",M14="KHG",M14="EARTH"),R14/100,""))</f>
        <v>2.3520441</v>
      </c>
    </row>
    <row r="15" customFormat="false" ht="22.35" hidden="false" customHeight="false" outlineLevel="0" collapsed="false">
      <c r="A15" s="6" t="s">
        <v>328</v>
      </c>
      <c r="B15" s="6" t="s">
        <v>329</v>
      </c>
      <c r="C15" s="6" t="s">
        <v>335</v>
      </c>
      <c r="D15" s="9" t="s">
        <v>292</v>
      </c>
      <c r="E15" s="9" t="s">
        <v>336</v>
      </c>
      <c r="F15" s="9" t="s">
        <v>337</v>
      </c>
      <c r="G15" s="9" t="s">
        <v>338</v>
      </c>
      <c r="H15" s="12" t="n">
        <v>904.913</v>
      </c>
      <c r="I15" s="6" t="s">
        <v>71</v>
      </c>
      <c r="J15" s="6" t="s">
        <v>334</v>
      </c>
      <c r="K15" s="6"/>
      <c r="L15" s="6"/>
      <c r="M15" s="6" t="s">
        <v>37</v>
      </c>
      <c r="N15" s="13" t="str">
        <f aca="false">IFERROR(INDEX(Rates!$B$5:$B$84,MATCH(M15,Rates!$A$5:$A$84,0)),"")</f>
        <v>Cement OPC, 50 kg bag (Lucky / Bestway / Maple Leaf)</v>
      </c>
      <c r="O15" s="12" t="n">
        <v>41.264</v>
      </c>
      <c r="P15" s="14" t="str">
        <f aca="false">IFERROR(INDEX(Rates!$C$5:$C$84,MATCH(M15,Rates!$A$5:$A$84,0)),"")</f>
        <v>bag</v>
      </c>
      <c r="Q15" s="15" t="n">
        <f aca="false">IFERROR(INDEX(Rates!$D$5:$D$84,MATCH(M15,Rates!$A$5:$A$84,0)),0)</f>
        <v>0.03</v>
      </c>
      <c r="R15" s="12" t="n">
        <f aca="false">O15*(1+Q15)</f>
        <v>42.50192</v>
      </c>
      <c r="S15" s="16" t="n">
        <f aca="false">IFERROR(INDEX(Rates!$E$5:$E$84,MATCH(M15,Rates!$A$5:$A$84,0)),0)</f>
        <v>1560</v>
      </c>
      <c r="T15" s="7" t="n">
        <f aca="false">R15*S15</f>
        <v>66302.9952</v>
      </c>
      <c r="U15" s="17" t="str">
        <f aca="false">IF(M15="BRK",R15/2000,IF(OR(M15="SNDC",M15="SNDM",M15="CRS",M15="KHG",M15="EARTH"),R15/100,""))</f>
        <v/>
      </c>
    </row>
    <row r="16" customFormat="false" ht="15" hidden="false" customHeight="false" outlineLevel="0" collapsed="false">
      <c r="A16" s="6" t="s">
        <v>328</v>
      </c>
      <c r="B16" s="6" t="s">
        <v>329</v>
      </c>
      <c r="C16" s="6" t="s">
        <v>335</v>
      </c>
      <c r="D16" s="9"/>
      <c r="E16" s="9"/>
      <c r="F16" s="9"/>
      <c r="G16" s="9"/>
      <c r="H16" s="12"/>
      <c r="I16" s="6"/>
      <c r="J16" s="6" t="s">
        <v>334</v>
      </c>
      <c r="K16" s="6"/>
      <c r="L16" s="6"/>
      <c r="M16" s="6" t="s">
        <v>76</v>
      </c>
      <c r="N16" s="13" t="str">
        <f aca="false">IFERROR(INDEX(Rates!$B$5:$B$84,MATCH(M16,Rates!$A$5:$A$84,0)),"")</f>
        <v>Ravi sand (mortar, plaster, blinding, fill)</v>
      </c>
      <c r="O16" s="12" t="n">
        <v>309.4803</v>
      </c>
      <c r="P16" s="14" t="str">
        <f aca="false">IFERROR(INDEX(Rates!$C$5:$C$84,MATCH(M16,Rates!$A$5:$A$84,0)),"")</f>
        <v>cft</v>
      </c>
      <c r="Q16" s="15" t="n">
        <f aca="false">IFERROR(INDEX(Rates!$D$5:$D$84,MATCH(M16,Rates!$A$5:$A$84,0)),0)</f>
        <v>0.08</v>
      </c>
      <c r="R16" s="12" t="n">
        <f aca="false">O16*(1+Q16)</f>
        <v>334.238724</v>
      </c>
      <c r="S16" s="16" t="n">
        <f aca="false">IFERROR(INDEX(Rates!$E$5:$E$84,MATCH(M16,Rates!$A$5:$A$84,0)),0)</f>
        <v>40</v>
      </c>
      <c r="T16" s="7" t="n">
        <f aca="false">R16*S16</f>
        <v>13369.54896</v>
      </c>
      <c r="U16" s="17" t="n">
        <f aca="false">IF(M16="BRK",R16/2000,IF(OR(M16="SNDC",M16="SNDM",M16="CRS",M16="KHG",M16="EARTH"),R16/100,""))</f>
        <v>3.34238724</v>
      </c>
    </row>
    <row r="17" customFormat="false" ht="15" hidden="false" customHeight="false" outlineLevel="0" collapsed="false">
      <c r="A17" s="6" t="s">
        <v>328</v>
      </c>
      <c r="B17" s="6" t="s">
        <v>329</v>
      </c>
      <c r="C17" s="6" t="s">
        <v>335</v>
      </c>
      <c r="D17" s="9"/>
      <c r="E17" s="9"/>
      <c r="F17" s="9"/>
      <c r="G17" s="9"/>
      <c r="H17" s="12"/>
      <c r="I17" s="6"/>
      <c r="J17" s="6" t="s">
        <v>334</v>
      </c>
      <c r="K17" s="6"/>
      <c r="L17" s="6"/>
      <c r="M17" s="6" t="s">
        <v>43</v>
      </c>
      <c r="N17" s="13" t="str">
        <f aca="false">IFERROR(INDEX(Rates!$B$5:$B$84,MATCH(M17,Rates!$A$5:$A$84,0)),"")</f>
        <v>Bricks, first class (awwal), 9" x 4½" x 3"</v>
      </c>
      <c r="O17" s="12" t="n">
        <v>12216.3263</v>
      </c>
      <c r="P17" s="14" t="str">
        <f aca="false">IFERROR(INDEX(Rates!$C$5:$C$84,MATCH(M17,Rates!$A$5:$A$84,0)),"")</f>
        <v>nos</v>
      </c>
      <c r="Q17" s="15" t="n">
        <f aca="false">IFERROR(INDEX(Rates!$D$5:$D$84,MATCH(M17,Rates!$A$5:$A$84,0)),0)</f>
        <v>0.05</v>
      </c>
      <c r="R17" s="12" t="n">
        <f aca="false">O17*(1+Q17)</f>
        <v>12827.142615</v>
      </c>
      <c r="S17" s="16" t="n">
        <f aca="false">IFERROR(INDEX(Rates!$E$5:$E$84,MATCH(M17,Rates!$A$5:$A$84,0)),0)</f>
        <v>16</v>
      </c>
      <c r="T17" s="7" t="n">
        <f aca="false">R17*S17</f>
        <v>205234.28184</v>
      </c>
      <c r="U17" s="17" t="n">
        <f aca="false">IF(M17="BRK",R17/2000,IF(OR(M17="SNDC",M17="SNDM",M17="CRS",M17="KHG",M17="EARTH"),R17/100,""))</f>
        <v>6.4135713075</v>
      </c>
    </row>
    <row r="18" customFormat="false" ht="22.35" hidden="false" customHeight="false" outlineLevel="0" collapsed="false">
      <c r="A18" s="6" t="s">
        <v>328</v>
      </c>
      <c r="B18" s="6" t="s">
        <v>329</v>
      </c>
      <c r="C18" s="6" t="s">
        <v>339</v>
      </c>
      <c r="D18" s="9" t="s">
        <v>292</v>
      </c>
      <c r="E18" s="9" t="s">
        <v>340</v>
      </c>
      <c r="F18" s="9" t="s">
        <v>341</v>
      </c>
      <c r="G18" s="9" t="s">
        <v>342</v>
      </c>
      <c r="H18" s="12" t="n">
        <v>812.334</v>
      </c>
      <c r="I18" s="6" t="s">
        <v>71</v>
      </c>
      <c r="J18" s="6" t="s">
        <v>194</v>
      </c>
      <c r="K18" s="6"/>
      <c r="L18" s="6"/>
      <c r="M18" s="6" t="s">
        <v>37</v>
      </c>
      <c r="N18" s="13" t="str">
        <f aca="false">IFERROR(INDEX(Rates!$B$5:$B$84,MATCH(M18,Rates!$A$5:$A$84,0)),"")</f>
        <v>Cement OPC, 50 kg bag (Lucky / Bestway / Maple Leaf)</v>
      </c>
      <c r="O18" s="12" t="n">
        <v>37.0424</v>
      </c>
      <c r="P18" s="14" t="str">
        <f aca="false">IFERROR(INDEX(Rates!$C$5:$C$84,MATCH(M18,Rates!$A$5:$A$84,0)),"")</f>
        <v>bag</v>
      </c>
      <c r="Q18" s="15" t="n">
        <f aca="false">IFERROR(INDEX(Rates!$D$5:$D$84,MATCH(M18,Rates!$A$5:$A$84,0)),0)</f>
        <v>0.03</v>
      </c>
      <c r="R18" s="12" t="n">
        <f aca="false">O18*(1+Q18)</f>
        <v>38.153672</v>
      </c>
      <c r="S18" s="16" t="n">
        <f aca="false">IFERROR(INDEX(Rates!$E$5:$E$84,MATCH(M18,Rates!$A$5:$A$84,0)),0)</f>
        <v>1560</v>
      </c>
      <c r="T18" s="7" t="n">
        <f aca="false">R18*S18</f>
        <v>59519.72832</v>
      </c>
      <c r="U18" s="17" t="str">
        <f aca="false">IF(M18="BRK",R18/2000,IF(OR(M18="SNDC",M18="SNDM",M18="CRS",M18="KHG",M18="EARTH"),R18/100,""))</f>
        <v/>
      </c>
    </row>
    <row r="19" customFormat="false" ht="15" hidden="false" customHeight="false" outlineLevel="0" collapsed="false">
      <c r="A19" s="6" t="s">
        <v>328</v>
      </c>
      <c r="B19" s="6" t="s">
        <v>329</v>
      </c>
      <c r="C19" s="6" t="s">
        <v>339</v>
      </c>
      <c r="D19" s="9"/>
      <c r="E19" s="9"/>
      <c r="F19" s="9"/>
      <c r="G19" s="9"/>
      <c r="H19" s="12"/>
      <c r="I19" s="6"/>
      <c r="J19" s="6" t="s">
        <v>194</v>
      </c>
      <c r="K19" s="6"/>
      <c r="L19" s="6"/>
      <c r="M19" s="6" t="s">
        <v>76</v>
      </c>
      <c r="N19" s="13" t="str">
        <f aca="false">IFERROR(INDEX(Rates!$B$5:$B$84,MATCH(M19,Rates!$A$5:$A$84,0)),"")</f>
        <v>Ravi sand (mortar, plaster, blinding, fill)</v>
      </c>
      <c r="O19" s="12" t="n">
        <v>277.8183</v>
      </c>
      <c r="P19" s="14" t="str">
        <f aca="false">IFERROR(INDEX(Rates!$C$5:$C$84,MATCH(M19,Rates!$A$5:$A$84,0)),"")</f>
        <v>cft</v>
      </c>
      <c r="Q19" s="15" t="n">
        <f aca="false">IFERROR(INDEX(Rates!$D$5:$D$84,MATCH(M19,Rates!$A$5:$A$84,0)),0)</f>
        <v>0.08</v>
      </c>
      <c r="R19" s="12" t="n">
        <f aca="false">O19*(1+Q19)</f>
        <v>300.043764</v>
      </c>
      <c r="S19" s="16" t="n">
        <f aca="false">IFERROR(INDEX(Rates!$E$5:$E$84,MATCH(M19,Rates!$A$5:$A$84,0)),0)</f>
        <v>40</v>
      </c>
      <c r="T19" s="7" t="n">
        <f aca="false">R19*S19</f>
        <v>12001.75056</v>
      </c>
      <c r="U19" s="17" t="n">
        <f aca="false">IF(M19="BRK",R19/2000,IF(OR(M19="SNDC",M19="SNDM",M19="CRS",M19="KHG",M19="EARTH"),R19/100,""))</f>
        <v>3.00043764</v>
      </c>
    </row>
    <row r="20" customFormat="false" ht="15" hidden="false" customHeight="false" outlineLevel="0" collapsed="false">
      <c r="A20" s="6" t="s">
        <v>328</v>
      </c>
      <c r="B20" s="6" t="s">
        <v>329</v>
      </c>
      <c r="C20" s="6" t="s">
        <v>339</v>
      </c>
      <c r="D20" s="9"/>
      <c r="E20" s="9"/>
      <c r="F20" s="9"/>
      <c r="G20" s="9"/>
      <c r="H20" s="12"/>
      <c r="I20" s="6"/>
      <c r="J20" s="6" t="s">
        <v>194</v>
      </c>
      <c r="K20" s="6"/>
      <c r="L20" s="6"/>
      <c r="M20" s="6" t="s">
        <v>43</v>
      </c>
      <c r="N20" s="13" t="str">
        <f aca="false">IFERROR(INDEX(Rates!$B$5:$B$84,MATCH(M20,Rates!$A$5:$A$84,0)),"")</f>
        <v>Bricks, first class (awwal), 9" x 4½" x 3"</v>
      </c>
      <c r="O20" s="12" t="n">
        <v>10966.5124</v>
      </c>
      <c r="P20" s="14" t="str">
        <f aca="false">IFERROR(INDEX(Rates!$C$5:$C$84,MATCH(M20,Rates!$A$5:$A$84,0)),"")</f>
        <v>nos</v>
      </c>
      <c r="Q20" s="15" t="n">
        <f aca="false">IFERROR(INDEX(Rates!$D$5:$D$84,MATCH(M20,Rates!$A$5:$A$84,0)),0)</f>
        <v>0.05</v>
      </c>
      <c r="R20" s="12" t="n">
        <f aca="false">O20*(1+Q20)</f>
        <v>11514.83802</v>
      </c>
      <c r="S20" s="16" t="n">
        <f aca="false">IFERROR(INDEX(Rates!$E$5:$E$84,MATCH(M20,Rates!$A$5:$A$84,0)),0)</f>
        <v>16</v>
      </c>
      <c r="T20" s="7" t="n">
        <f aca="false">R20*S20</f>
        <v>184237.40832</v>
      </c>
      <c r="U20" s="17" t="n">
        <f aca="false">IF(M20="BRK",R20/2000,IF(OR(M20="SNDC",M20="SNDM",M20="CRS",M20="KHG",M20="EARTH"),R20/100,""))</f>
        <v>5.75741901</v>
      </c>
    </row>
    <row r="21" customFormat="false" ht="22.35" hidden="false" customHeight="false" outlineLevel="0" collapsed="false">
      <c r="A21" s="6" t="s">
        <v>328</v>
      </c>
      <c r="B21" s="6" t="s">
        <v>329</v>
      </c>
      <c r="C21" s="6" t="s">
        <v>343</v>
      </c>
      <c r="D21" s="9" t="s">
        <v>292</v>
      </c>
      <c r="E21" s="9" t="s">
        <v>344</v>
      </c>
      <c r="F21" s="9" t="s">
        <v>345</v>
      </c>
      <c r="G21" s="9" t="s">
        <v>346</v>
      </c>
      <c r="H21" s="12" t="n">
        <v>507.316</v>
      </c>
      <c r="I21" s="6" t="s">
        <v>71</v>
      </c>
      <c r="J21" s="6" t="s">
        <v>347</v>
      </c>
      <c r="K21" s="6"/>
      <c r="L21" s="6"/>
      <c r="M21" s="6" t="s">
        <v>37</v>
      </c>
      <c r="N21" s="13" t="str">
        <f aca="false">IFERROR(INDEX(Rates!$B$5:$B$84,MATCH(M21,Rates!$A$5:$A$84,0)),"")</f>
        <v>Cement OPC, 50 kg bag (Lucky / Bestway / Maple Leaf)</v>
      </c>
      <c r="O21" s="12" t="n">
        <v>23.1336</v>
      </c>
      <c r="P21" s="14" t="str">
        <f aca="false">IFERROR(INDEX(Rates!$C$5:$C$84,MATCH(M21,Rates!$A$5:$A$84,0)),"")</f>
        <v>bag</v>
      </c>
      <c r="Q21" s="15" t="n">
        <f aca="false">IFERROR(INDEX(Rates!$D$5:$D$84,MATCH(M21,Rates!$A$5:$A$84,0)),0)</f>
        <v>0.03</v>
      </c>
      <c r="R21" s="12" t="n">
        <f aca="false">O21*(1+Q21)</f>
        <v>23.827608</v>
      </c>
      <c r="S21" s="16" t="n">
        <f aca="false">IFERROR(INDEX(Rates!$E$5:$E$84,MATCH(M21,Rates!$A$5:$A$84,0)),0)</f>
        <v>1560</v>
      </c>
      <c r="T21" s="7" t="n">
        <f aca="false">R21*S21</f>
        <v>37171.06848</v>
      </c>
      <c r="U21" s="17" t="str">
        <f aca="false">IF(M21="BRK",R21/2000,IF(OR(M21="SNDC",M21="SNDM",M21="CRS",M21="KHG",M21="EARTH"),R21/100,""))</f>
        <v/>
      </c>
    </row>
    <row r="22" customFormat="false" ht="15" hidden="false" customHeight="false" outlineLevel="0" collapsed="false">
      <c r="A22" s="6" t="s">
        <v>328</v>
      </c>
      <c r="B22" s="6" t="s">
        <v>329</v>
      </c>
      <c r="C22" s="6" t="s">
        <v>343</v>
      </c>
      <c r="D22" s="9"/>
      <c r="E22" s="9"/>
      <c r="F22" s="9"/>
      <c r="G22" s="9"/>
      <c r="H22" s="12"/>
      <c r="I22" s="6"/>
      <c r="J22" s="6" t="s">
        <v>347</v>
      </c>
      <c r="K22" s="6"/>
      <c r="L22" s="6"/>
      <c r="M22" s="6" t="s">
        <v>76</v>
      </c>
      <c r="N22" s="13" t="str">
        <f aca="false">IFERROR(INDEX(Rates!$B$5:$B$84,MATCH(M22,Rates!$A$5:$A$84,0)),"")</f>
        <v>Ravi sand (mortar, plaster, blinding, fill)</v>
      </c>
      <c r="O22" s="12" t="n">
        <v>173.5021</v>
      </c>
      <c r="P22" s="14" t="str">
        <f aca="false">IFERROR(INDEX(Rates!$C$5:$C$84,MATCH(M22,Rates!$A$5:$A$84,0)),"")</f>
        <v>cft</v>
      </c>
      <c r="Q22" s="15" t="n">
        <f aca="false">IFERROR(INDEX(Rates!$D$5:$D$84,MATCH(M22,Rates!$A$5:$A$84,0)),0)</f>
        <v>0.08</v>
      </c>
      <c r="R22" s="12" t="n">
        <f aca="false">O22*(1+Q22)</f>
        <v>187.382268</v>
      </c>
      <c r="S22" s="16" t="n">
        <f aca="false">IFERROR(INDEX(Rates!$E$5:$E$84,MATCH(M22,Rates!$A$5:$A$84,0)),0)</f>
        <v>40</v>
      </c>
      <c r="T22" s="7" t="n">
        <f aca="false">R22*S22</f>
        <v>7495.29072</v>
      </c>
      <c r="U22" s="17" t="n">
        <f aca="false">IF(M22="BRK",R22/2000,IF(OR(M22="SNDC",M22="SNDM",M22="CRS",M22="KHG",M22="EARTH"),R22/100,""))</f>
        <v>1.87382268</v>
      </c>
    </row>
    <row r="23" customFormat="false" ht="15" hidden="false" customHeight="false" outlineLevel="0" collapsed="false">
      <c r="A23" s="6" t="s">
        <v>328</v>
      </c>
      <c r="B23" s="6" t="s">
        <v>329</v>
      </c>
      <c r="C23" s="6" t="s">
        <v>343</v>
      </c>
      <c r="D23" s="9"/>
      <c r="E23" s="9"/>
      <c r="F23" s="9"/>
      <c r="G23" s="9"/>
      <c r="H23" s="12"/>
      <c r="I23" s="6"/>
      <c r="J23" s="6" t="s">
        <v>347</v>
      </c>
      <c r="K23" s="6"/>
      <c r="L23" s="6"/>
      <c r="M23" s="6" t="s">
        <v>43</v>
      </c>
      <c r="N23" s="13" t="str">
        <f aca="false">IFERROR(INDEX(Rates!$B$5:$B$84,MATCH(M23,Rates!$A$5:$A$84,0)),"")</f>
        <v>Bricks, first class (awwal), 9" x 4½" x 3"</v>
      </c>
      <c r="O23" s="12" t="n">
        <v>6848.7662</v>
      </c>
      <c r="P23" s="14" t="str">
        <f aca="false">IFERROR(INDEX(Rates!$C$5:$C$84,MATCH(M23,Rates!$A$5:$A$84,0)),"")</f>
        <v>nos</v>
      </c>
      <c r="Q23" s="15" t="n">
        <f aca="false">IFERROR(INDEX(Rates!$D$5:$D$84,MATCH(M23,Rates!$A$5:$A$84,0)),0)</f>
        <v>0.05</v>
      </c>
      <c r="R23" s="12" t="n">
        <f aca="false">O23*(1+Q23)</f>
        <v>7191.20451</v>
      </c>
      <c r="S23" s="16" t="n">
        <f aca="false">IFERROR(INDEX(Rates!$E$5:$E$84,MATCH(M23,Rates!$A$5:$A$84,0)),0)</f>
        <v>16</v>
      </c>
      <c r="T23" s="7" t="n">
        <f aca="false">R23*S23</f>
        <v>115059.27216</v>
      </c>
      <c r="U23" s="17" t="n">
        <f aca="false">IF(M23="BRK",R23/2000,IF(OR(M23="SNDC",M23="SNDM",M23="CRS",M23="KHG",M23="EARTH"),R23/100,""))</f>
        <v>3.595602255</v>
      </c>
    </row>
    <row r="24" customFormat="false" ht="22.35" hidden="false" customHeight="false" outlineLevel="0" collapsed="false">
      <c r="A24" s="6" t="s">
        <v>328</v>
      </c>
      <c r="B24" s="6" t="s">
        <v>329</v>
      </c>
      <c r="C24" s="6" t="s">
        <v>348</v>
      </c>
      <c r="D24" s="9" t="s">
        <v>299</v>
      </c>
      <c r="E24" s="9" t="s">
        <v>349</v>
      </c>
      <c r="F24" s="9" t="s">
        <v>350</v>
      </c>
      <c r="G24" s="9" t="s">
        <v>351</v>
      </c>
      <c r="H24" s="12" t="n">
        <v>3.062</v>
      </c>
      <c r="I24" s="6" t="s">
        <v>71</v>
      </c>
      <c r="J24" s="6" t="s">
        <v>303</v>
      </c>
      <c r="K24" s="6"/>
      <c r="L24" s="6"/>
      <c r="M24" s="6" t="s">
        <v>37</v>
      </c>
      <c r="N24" s="13" t="str">
        <f aca="false">IFERROR(INDEX(Rates!$B$5:$B$84,MATCH(M24,Rates!$A$5:$A$84,0)),"")</f>
        <v>Cement OPC, 50 kg bag (Lucky / Bestway / Maple Leaf)</v>
      </c>
      <c r="O24" s="12" t="n">
        <v>0.2959</v>
      </c>
      <c r="P24" s="14" t="str">
        <f aca="false">IFERROR(INDEX(Rates!$C$5:$C$84,MATCH(M24,Rates!$A$5:$A$84,0)),"")</f>
        <v>bag</v>
      </c>
      <c r="Q24" s="15" t="n">
        <f aca="false">IFERROR(INDEX(Rates!$D$5:$D$84,MATCH(M24,Rates!$A$5:$A$84,0)),0)</f>
        <v>0.03</v>
      </c>
      <c r="R24" s="12" t="n">
        <f aca="false">O24*(1+Q24)</f>
        <v>0.304777</v>
      </c>
      <c r="S24" s="16" t="n">
        <f aca="false">IFERROR(INDEX(Rates!$E$5:$E$84,MATCH(M24,Rates!$A$5:$A$84,0)),0)</f>
        <v>1560</v>
      </c>
      <c r="T24" s="7" t="n">
        <f aca="false">R24*S24</f>
        <v>475.45212</v>
      </c>
      <c r="U24" s="17" t="str">
        <f aca="false">IF(M24="BRK",R24/2000,IF(OR(M24="SNDC",M24="SNDM",M24="CRS",M24="KHG",M24="EARTH"),R24/100,""))</f>
        <v/>
      </c>
    </row>
    <row r="25" customFormat="false" ht="15" hidden="false" customHeight="false" outlineLevel="0" collapsed="false">
      <c r="A25" s="6" t="s">
        <v>328</v>
      </c>
      <c r="B25" s="6" t="s">
        <v>329</v>
      </c>
      <c r="C25" s="6" t="s">
        <v>348</v>
      </c>
      <c r="D25" s="9"/>
      <c r="E25" s="9"/>
      <c r="F25" s="9"/>
      <c r="G25" s="9"/>
      <c r="H25" s="12"/>
      <c r="I25" s="6"/>
      <c r="J25" s="6" t="s">
        <v>303</v>
      </c>
      <c r="K25" s="6"/>
      <c r="L25" s="6"/>
      <c r="M25" s="6" t="s">
        <v>69</v>
      </c>
      <c r="N25" s="13" t="str">
        <f aca="false">IFERROR(INDEX(Rates!$B$5:$B$84,MATCH(M25,Rates!$A$5:$A$84,0)),"")</f>
        <v>Chenab sand (concrete, screed)</v>
      </c>
      <c r="O25" s="12" t="n">
        <v>1.4794</v>
      </c>
      <c r="P25" s="14" t="str">
        <f aca="false">IFERROR(INDEX(Rates!$C$5:$C$84,MATCH(M25,Rates!$A$5:$A$84,0)),"")</f>
        <v>cft</v>
      </c>
      <c r="Q25" s="15" t="n">
        <f aca="false">IFERROR(INDEX(Rates!$D$5:$D$84,MATCH(M25,Rates!$A$5:$A$84,0)),0)</f>
        <v>0.08</v>
      </c>
      <c r="R25" s="12" t="n">
        <f aca="false">O25*(1+Q25)</f>
        <v>1.597752</v>
      </c>
      <c r="S25" s="16" t="n">
        <f aca="false">IFERROR(INDEX(Rates!$E$5:$E$84,MATCH(M25,Rates!$A$5:$A$84,0)),0)</f>
        <v>65</v>
      </c>
      <c r="T25" s="7" t="n">
        <f aca="false">R25*S25</f>
        <v>103.85388</v>
      </c>
      <c r="U25" s="17" t="n">
        <f aca="false">IF(M25="BRK",R25/2000,IF(OR(M25="SNDC",M25="SNDM",M25="CRS",M25="KHG",M25="EARTH"),R25/100,""))</f>
        <v>0.01597752</v>
      </c>
    </row>
    <row r="26" customFormat="false" ht="15" hidden="false" customHeight="false" outlineLevel="0" collapsed="false">
      <c r="A26" s="6" t="s">
        <v>328</v>
      </c>
      <c r="B26" s="6" t="s">
        <v>329</v>
      </c>
      <c r="C26" s="6" t="s">
        <v>348</v>
      </c>
      <c r="D26" s="9"/>
      <c r="E26" s="9"/>
      <c r="F26" s="9"/>
      <c r="G26" s="9"/>
      <c r="H26" s="12"/>
      <c r="I26" s="6"/>
      <c r="J26" s="6" t="s">
        <v>303</v>
      </c>
      <c r="K26" s="6"/>
      <c r="L26" s="6"/>
      <c r="M26" s="6" t="s">
        <v>79</v>
      </c>
      <c r="N26" s="13" t="str">
        <f aca="false">IFERROR(INDEX(Rates!$B$5:$B$84,MATCH(M26,Rates!$A$5:$A$84,0)),"")</f>
        <v>Crush ¾" down, Sargodha (bajri)</v>
      </c>
      <c r="O26" s="12" t="n">
        <v>2.9588</v>
      </c>
      <c r="P26" s="14" t="str">
        <f aca="false">IFERROR(INDEX(Rates!$C$5:$C$84,MATCH(M26,Rates!$A$5:$A$84,0)),"")</f>
        <v>cft</v>
      </c>
      <c r="Q26" s="15" t="n">
        <f aca="false">IFERROR(INDEX(Rates!$D$5:$D$84,MATCH(M26,Rates!$A$5:$A$84,0)),0)</f>
        <v>0.05</v>
      </c>
      <c r="R26" s="12" t="n">
        <f aca="false">O26*(1+Q26)</f>
        <v>3.10674</v>
      </c>
      <c r="S26" s="16" t="n">
        <f aca="false">IFERROR(INDEX(Rates!$E$5:$E$84,MATCH(M26,Rates!$A$5:$A$84,0)),0)</f>
        <v>110</v>
      </c>
      <c r="T26" s="7" t="n">
        <f aca="false">R26*S26</f>
        <v>341.7414</v>
      </c>
      <c r="U26" s="17" t="n">
        <f aca="false">IF(M26="BRK",R26/2000,IF(OR(M26="SNDC",M26="SNDM",M26="CRS",M26="KHG",M26="EARTH"),R26/100,""))</f>
        <v>0.0310674</v>
      </c>
    </row>
    <row r="27" customFormat="false" ht="22.35" hidden="false" customHeight="false" outlineLevel="0" collapsed="false">
      <c r="A27" s="6" t="s">
        <v>328</v>
      </c>
      <c r="B27" s="6" t="s">
        <v>329</v>
      </c>
      <c r="C27" s="6" t="s">
        <v>352</v>
      </c>
      <c r="D27" s="9" t="s">
        <v>299</v>
      </c>
      <c r="E27" s="9" t="s">
        <v>353</v>
      </c>
      <c r="F27" s="9" t="s">
        <v>354</v>
      </c>
      <c r="G27" s="9" t="s">
        <v>355</v>
      </c>
      <c r="H27" s="12" t="n">
        <v>9</v>
      </c>
      <c r="I27" s="6" t="s">
        <v>71</v>
      </c>
      <c r="J27" s="6" t="s">
        <v>303</v>
      </c>
      <c r="K27" s="6" t="s">
        <v>356</v>
      </c>
      <c r="L27" s="6"/>
      <c r="M27" s="6" t="s">
        <v>37</v>
      </c>
      <c r="N27" s="13" t="str">
        <f aca="false">IFERROR(INDEX(Rates!$B$5:$B$84,MATCH(M27,Rates!$A$5:$A$84,0)),"")</f>
        <v>Cement OPC, 50 kg bag (Lucky / Bestway / Maple Leaf)</v>
      </c>
      <c r="O27" s="12" t="n">
        <v>1.6149</v>
      </c>
      <c r="P27" s="14" t="str">
        <f aca="false">IFERROR(INDEX(Rates!$C$5:$C$84,MATCH(M27,Rates!$A$5:$A$84,0)),"")</f>
        <v>bag</v>
      </c>
      <c r="Q27" s="15" t="n">
        <f aca="false">IFERROR(INDEX(Rates!$D$5:$D$84,MATCH(M27,Rates!$A$5:$A$84,0)),0)</f>
        <v>0.03</v>
      </c>
      <c r="R27" s="12" t="n">
        <f aca="false">O27*(1+Q27)</f>
        <v>1.663347</v>
      </c>
      <c r="S27" s="16" t="n">
        <f aca="false">IFERROR(INDEX(Rates!$E$5:$E$84,MATCH(M27,Rates!$A$5:$A$84,0)),0)</f>
        <v>1560</v>
      </c>
      <c r="T27" s="7" t="n">
        <f aca="false">R27*S27</f>
        <v>2594.82132</v>
      </c>
      <c r="U27" s="17" t="str">
        <f aca="false">IF(M27="BRK",R27/2000,IF(OR(M27="SNDC",M27="SNDM",M27="CRS",M27="KHG",M27="EARTH"),R27/100,""))</f>
        <v/>
      </c>
    </row>
    <row r="28" customFormat="false" ht="15" hidden="false" customHeight="false" outlineLevel="0" collapsed="false">
      <c r="A28" s="6" t="s">
        <v>328</v>
      </c>
      <c r="B28" s="6" t="s">
        <v>329</v>
      </c>
      <c r="C28" s="6" t="s">
        <v>352</v>
      </c>
      <c r="D28" s="9"/>
      <c r="E28" s="9"/>
      <c r="F28" s="9"/>
      <c r="G28" s="9"/>
      <c r="H28" s="12"/>
      <c r="I28" s="6"/>
      <c r="J28" s="6" t="s">
        <v>303</v>
      </c>
      <c r="K28" s="6" t="s">
        <v>356</v>
      </c>
      <c r="L28" s="6"/>
      <c r="M28" s="6" t="s">
        <v>69</v>
      </c>
      <c r="N28" s="13" t="str">
        <f aca="false">IFERROR(INDEX(Rates!$B$5:$B$84,MATCH(M28,Rates!$A$5:$A$84,0)),"")</f>
        <v>Chenab sand (concrete, screed)</v>
      </c>
      <c r="O28" s="12" t="n">
        <v>4.0371</v>
      </c>
      <c r="P28" s="14" t="str">
        <f aca="false">IFERROR(INDEX(Rates!$C$5:$C$84,MATCH(M28,Rates!$A$5:$A$84,0)),"")</f>
        <v>cft</v>
      </c>
      <c r="Q28" s="15" t="n">
        <f aca="false">IFERROR(INDEX(Rates!$D$5:$D$84,MATCH(M28,Rates!$A$5:$A$84,0)),0)</f>
        <v>0.08</v>
      </c>
      <c r="R28" s="12" t="n">
        <f aca="false">O28*(1+Q28)</f>
        <v>4.360068</v>
      </c>
      <c r="S28" s="16" t="n">
        <f aca="false">IFERROR(INDEX(Rates!$E$5:$E$84,MATCH(M28,Rates!$A$5:$A$84,0)),0)</f>
        <v>65</v>
      </c>
      <c r="T28" s="7" t="n">
        <f aca="false">R28*S28</f>
        <v>283.40442</v>
      </c>
      <c r="U28" s="17" t="n">
        <f aca="false">IF(M28="BRK",R28/2000,IF(OR(M28="SNDC",M28="SNDM",M28="CRS",M28="KHG",M28="EARTH"),R28/100,""))</f>
        <v>0.04360068</v>
      </c>
    </row>
    <row r="29" customFormat="false" ht="15" hidden="false" customHeight="false" outlineLevel="0" collapsed="false">
      <c r="A29" s="6" t="s">
        <v>328</v>
      </c>
      <c r="B29" s="6" t="s">
        <v>329</v>
      </c>
      <c r="C29" s="6" t="s">
        <v>352</v>
      </c>
      <c r="D29" s="9"/>
      <c r="E29" s="9"/>
      <c r="F29" s="9"/>
      <c r="G29" s="9"/>
      <c r="H29" s="12"/>
      <c r="I29" s="6"/>
      <c r="J29" s="6" t="s">
        <v>303</v>
      </c>
      <c r="K29" s="6" t="s">
        <v>356</v>
      </c>
      <c r="L29" s="6"/>
      <c r="M29" s="6" t="s">
        <v>79</v>
      </c>
      <c r="N29" s="13" t="str">
        <f aca="false">IFERROR(INDEX(Rates!$B$5:$B$84,MATCH(M29,Rates!$A$5:$A$84,0)),"")</f>
        <v>Crush ¾" down, Sargodha (bajri)</v>
      </c>
      <c r="O29" s="12" t="n">
        <v>8.0743</v>
      </c>
      <c r="P29" s="14" t="str">
        <f aca="false">IFERROR(INDEX(Rates!$C$5:$C$84,MATCH(M29,Rates!$A$5:$A$84,0)),"")</f>
        <v>cft</v>
      </c>
      <c r="Q29" s="15" t="n">
        <f aca="false">IFERROR(INDEX(Rates!$D$5:$D$84,MATCH(M29,Rates!$A$5:$A$84,0)),0)</f>
        <v>0.05</v>
      </c>
      <c r="R29" s="12" t="n">
        <f aca="false">O29*(1+Q29)</f>
        <v>8.478015</v>
      </c>
      <c r="S29" s="16" t="n">
        <f aca="false">IFERROR(INDEX(Rates!$E$5:$E$84,MATCH(M29,Rates!$A$5:$A$84,0)),0)</f>
        <v>110</v>
      </c>
      <c r="T29" s="7" t="n">
        <f aca="false">R29*S29</f>
        <v>932.58165</v>
      </c>
      <c r="U29" s="17" t="n">
        <f aca="false">IF(M29="BRK",R29/2000,IF(OR(M29="SNDC",M29="SNDM",M29="CRS",M29="KHG",M29="EARTH"),R29/100,""))</f>
        <v>0.08478015</v>
      </c>
    </row>
    <row r="30" customFormat="false" ht="15" hidden="false" customHeight="false" outlineLevel="0" collapsed="false">
      <c r="A30" s="6" t="s">
        <v>328</v>
      </c>
      <c r="B30" s="6" t="s">
        <v>329</v>
      </c>
      <c r="C30" s="6" t="s">
        <v>352</v>
      </c>
      <c r="D30" s="9"/>
      <c r="E30" s="9"/>
      <c r="F30" s="9"/>
      <c r="G30" s="9"/>
      <c r="H30" s="12"/>
      <c r="I30" s="6"/>
      <c r="J30" s="6" t="s">
        <v>303</v>
      </c>
      <c r="K30" s="6" t="s">
        <v>356</v>
      </c>
      <c r="L30" s="6"/>
      <c r="M30" s="6" t="s">
        <v>59</v>
      </c>
      <c r="N30" s="13" t="str">
        <f aca="false">IFERROR(INDEX(Rates!$B$5:$B$84,MATCH(M30,Rates!$A$5:$A$84,0)),"")</f>
        <v>Steel Grade 60 deformed, #4 (12 mm)</v>
      </c>
      <c r="O30" s="12" t="n">
        <v>11.6655</v>
      </c>
      <c r="P30" s="14" t="str">
        <f aca="false">IFERROR(INDEX(Rates!$C$5:$C$84,MATCH(M30,Rates!$A$5:$A$84,0)),"")</f>
        <v>kg</v>
      </c>
      <c r="Q30" s="15" t="n">
        <f aca="false">IFERROR(INDEX(Rates!$D$5:$D$84,MATCH(M30,Rates!$A$5:$A$84,0)),0)</f>
        <v>0.04</v>
      </c>
      <c r="R30" s="12" t="n">
        <f aca="false">O30*(1+Q30)</f>
        <v>12.13212</v>
      </c>
      <c r="S30" s="16" t="n">
        <f aca="false">IFERROR(INDEX(Rates!$E$5:$E$84,MATCH(M30,Rates!$A$5:$A$84,0)),0)</f>
        <v>262</v>
      </c>
      <c r="T30" s="7" t="n">
        <f aca="false">R30*S30</f>
        <v>3178.61544</v>
      </c>
      <c r="U30" s="17" t="str">
        <f aca="false">IF(M30="BRK",R30/2000,IF(OR(M30="SNDC",M30="SNDM",M30="CRS",M30="KHG",M30="EARTH"),R30/100,""))</f>
        <v/>
      </c>
    </row>
    <row r="31" customFormat="false" ht="22.35" hidden="false" customHeight="false" outlineLevel="0" collapsed="false">
      <c r="A31" s="6" t="s">
        <v>328</v>
      </c>
      <c r="B31" s="6" t="s">
        <v>329</v>
      </c>
      <c r="C31" s="6" t="s">
        <v>357</v>
      </c>
      <c r="D31" s="9" t="s">
        <v>305</v>
      </c>
      <c r="E31" s="9" t="s">
        <v>358</v>
      </c>
      <c r="F31" s="9" t="s">
        <v>359</v>
      </c>
      <c r="G31" s="9" t="s">
        <v>360</v>
      </c>
      <c r="H31" s="12" t="n">
        <v>26.694</v>
      </c>
      <c r="I31" s="6" t="s">
        <v>71</v>
      </c>
      <c r="J31" s="6" t="s">
        <v>361</v>
      </c>
      <c r="K31" s="6"/>
      <c r="L31" s="6"/>
      <c r="M31" s="6" t="s">
        <v>37</v>
      </c>
      <c r="N31" s="13" t="str">
        <f aca="false">IFERROR(INDEX(Rates!$B$5:$B$84,MATCH(M31,Rates!$A$5:$A$84,0)),"")</f>
        <v>Cement OPC, 50 kg bag (Lucky / Bestway / Maple Leaf)</v>
      </c>
      <c r="O31" s="12" t="n">
        <v>2.579</v>
      </c>
      <c r="P31" s="14" t="str">
        <f aca="false">IFERROR(INDEX(Rates!$C$5:$C$84,MATCH(M31,Rates!$A$5:$A$84,0)),"")</f>
        <v>bag</v>
      </c>
      <c r="Q31" s="15" t="n">
        <f aca="false">IFERROR(INDEX(Rates!$D$5:$D$84,MATCH(M31,Rates!$A$5:$A$84,0)),0)</f>
        <v>0.03</v>
      </c>
      <c r="R31" s="12" t="n">
        <f aca="false">O31*(1+Q31)</f>
        <v>2.65637</v>
      </c>
      <c r="S31" s="16" t="n">
        <f aca="false">IFERROR(INDEX(Rates!$E$5:$E$84,MATCH(M31,Rates!$A$5:$A$84,0)),0)</f>
        <v>1560</v>
      </c>
      <c r="T31" s="7" t="n">
        <f aca="false">R31*S31</f>
        <v>4143.9372</v>
      </c>
      <c r="U31" s="17" t="str">
        <f aca="false">IF(M31="BRK",R31/2000,IF(OR(M31="SNDC",M31="SNDM",M31="CRS",M31="KHG",M31="EARTH"),R31/100,""))</f>
        <v/>
      </c>
    </row>
    <row r="32" customFormat="false" ht="15" hidden="false" customHeight="false" outlineLevel="0" collapsed="false">
      <c r="A32" s="6" t="s">
        <v>328</v>
      </c>
      <c r="B32" s="6" t="s">
        <v>329</v>
      </c>
      <c r="C32" s="6" t="s">
        <v>357</v>
      </c>
      <c r="D32" s="9"/>
      <c r="E32" s="9"/>
      <c r="F32" s="9"/>
      <c r="G32" s="9"/>
      <c r="H32" s="12"/>
      <c r="I32" s="6"/>
      <c r="J32" s="6" t="s">
        <v>361</v>
      </c>
      <c r="K32" s="6"/>
      <c r="L32" s="6"/>
      <c r="M32" s="6" t="s">
        <v>69</v>
      </c>
      <c r="N32" s="13" t="str">
        <f aca="false">IFERROR(INDEX(Rates!$B$5:$B$84,MATCH(M32,Rates!$A$5:$A$84,0)),"")</f>
        <v>Chenab sand (concrete, screed)</v>
      </c>
      <c r="O32" s="12" t="n">
        <v>12.8951</v>
      </c>
      <c r="P32" s="14" t="str">
        <f aca="false">IFERROR(INDEX(Rates!$C$5:$C$84,MATCH(M32,Rates!$A$5:$A$84,0)),"")</f>
        <v>cft</v>
      </c>
      <c r="Q32" s="15" t="n">
        <f aca="false">IFERROR(INDEX(Rates!$D$5:$D$84,MATCH(M32,Rates!$A$5:$A$84,0)),0)</f>
        <v>0.08</v>
      </c>
      <c r="R32" s="12" t="n">
        <f aca="false">O32*(1+Q32)</f>
        <v>13.926708</v>
      </c>
      <c r="S32" s="16" t="n">
        <f aca="false">IFERROR(INDEX(Rates!$E$5:$E$84,MATCH(M32,Rates!$A$5:$A$84,0)),0)</f>
        <v>65</v>
      </c>
      <c r="T32" s="7" t="n">
        <f aca="false">R32*S32</f>
        <v>905.23602</v>
      </c>
      <c r="U32" s="17" t="n">
        <f aca="false">IF(M32="BRK",R32/2000,IF(OR(M32="SNDC",M32="SNDM",M32="CRS",M32="KHG",M32="EARTH"),R32/100,""))</f>
        <v>0.13926708</v>
      </c>
    </row>
    <row r="33" customFormat="false" ht="15" hidden="false" customHeight="false" outlineLevel="0" collapsed="false">
      <c r="A33" s="6" t="s">
        <v>328</v>
      </c>
      <c r="B33" s="6" t="s">
        <v>329</v>
      </c>
      <c r="C33" s="6" t="s">
        <v>357</v>
      </c>
      <c r="D33" s="9"/>
      <c r="E33" s="9"/>
      <c r="F33" s="9"/>
      <c r="G33" s="9"/>
      <c r="H33" s="12"/>
      <c r="I33" s="6"/>
      <c r="J33" s="6" t="s">
        <v>361</v>
      </c>
      <c r="K33" s="6"/>
      <c r="L33" s="6"/>
      <c r="M33" s="6" t="s">
        <v>79</v>
      </c>
      <c r="N33" s="13" t="str">
        <f aca="false">IFERROR(INDEX(Rates!$B$5:$B$84,MATCH(M33,Rates!$A$5:$A$84,0)),"")</f>
        <v>Crush ¾" down, Sargodha (bajri)</v>
      </c>
      <c r="O33" s="12" t="n">
        <v>25.7903</v>
      </c>
      <c r="P33" s="14" t="str">
        <f aca="false">IFERROR(INDEX(Rates!$C$5:$C$84,MATCH(M33,Rates!$A$5:$A$84,0)),"")</f>
        <v>cft</v>
      </c>
      <c r="Q33" s="15" t="n">
        <f aca="false">IFERROR(INDEX(Rates!$D$5:$D$84,MATCH(M33,Rates!$A$5:$A$84,0)),0)</f>
        <v>0.05</v>
      </c>
      <c r="R33" s="12" t="n">
        <f aca="false">O33*(1+Q33)</f>
        <v>27.079815</v>
      </c>
      <c r="S33" s="16" t="n">
        <f aca="false">IFERROR(INDEX(Rates!$E$5:$E$84,MATCH(M33,Rates!$A$5:$A$84,0)),0)</f>
        <v>110</v>
      </c>
      <c r="T33" s="7" t="n">
        <f aca="false">R33*S33</f>
        <v>2978.77965</v>
      </c>
      <c r="U33" s="17" t="n">
        <f aca="false">IF(M33="BRK",R33/2000,IF(OR(M33="SNDC",M33="SNDM",M33="CRS",M33="KHG",M33="EARTH"),R33/100,""))</f>
        <v>0.27079815</v>
      </c>
    </row>
    <row r="34" customFormat="false" ht="22.35" hidden="false" customHeight="false" outlineLevel="0" collapsed="false">
      <c r="A34" s="6" t="s">
        <v>328</v>
      </c>
      <c r="B34" s="6" t="s">
        <v>329</v>
      </c>
      <c r="C34" s="6" t="s">
        <v>362</v>
      </c>
      <c r="D34" s="9" t="s">
        <v>305</v>
      </c>
      <c r="E34" s="9" t="s">
        <v>363</v>
      </c>
      <c r="F34" s="9" t="s">
        <v>364</v>
      </c>
      <c r="G34" s="9" t="s">
        <v>365</v>
      </c>
      <c r="H34" s="12" t="n">
        <v>96.097</v>
      </c>
      <c r="I34" s="6" t="s">
        <v>71</v>
      </c>
      <c r="J34" s="6" t="s">
        <v>309</v>
      </c>
      <c r="K34" s="6"/>
      <c r="L34" s="6"/>
      <c r="M34" s="6" t="s">
        <v>37</v>
      </c>
      <c r="N34" s="13" t="str">
        <f aca="false">IFERROR(INDEX(Rates!$B$5:$B$84,MATCH(M34,Rates!$A$5:$A$84,0)),"")</f>
        <v>Cement OPC, 50 kg bag (Lucky / Bestway / Maple Leaf)</v>
      </c>
      <c r="O34" s="12" t="n">
        <v>4.382</v>
      </c>
      <c r="P34" s="14" t="str">
        <f aca="false">IFERROR(INDEX(Rates!$C$5:$C$84,MATCH(M34,Rates!$A$5:$A$84,0)),"")</f>
        <v>bag</v>
      </c>
      <c r="Q34" s="15" t="n">
        <f aca="false">IFERROR(INDEX(Rates!$D$5:$D$84,MATCH(M34,Rates!$A$5:$A$84,0)),0)</f>
        <v>0.03</v>
      </c>
      <c r="R34" s="12" t="n">
        <f aca="false">O34*(1+Q34)</f>
        <v>4.51346</v>
      </c>
      <c r="S34" s="16" t="n">
        <f aca="false">IFERROR(INDEX(Rates!$E$5:$E$84,MATCH(M34,Rates!$A$5:$A$84,0)),0)</f>
        <v>1560</v>
      </c>
      <c r="T34" s="7" t="n">
        <f aca="false">R34*S34</f>
        <v>7040.9976</v>
      </c>
      <c r="U34" s="17" t="str">
        <f aca="false">IF(M34="BRK",R34/2000,IF(OR(M34="SNDC",M34="SNDM",M34="CRS",M34="KHG",M34="EARTH"),R34/100,""))</f>
        <v/>
      </c>
    </row>
    <row r="35" customFormat="false" ht="15" hidden="false" customHeight="false" outlineLevel="0" collapsed="false">
      <c r="A35" s="6" t="s">
        <v>328</v>
      </c>
      <c r="B35" s="6" t="s">
        <v>329</v>
      </c>
      <c r="C35" s="6" t="s">
        <v>362</v>
      </c>
      <c r="D35" s="9"/>
      <c r="E35" s="9"/>
      <c r="F35" s="9"/>
      <c r="G35" s="9"/>
      <c r="H35" s="12"/>
      <c r="I35" s="6"/>
      <c r="J35" s="6" t="s">
        <v>309</v>
      </c>
      <c r="K35" s="6"/>
      <c r="L35" s="6"/>
      <c r="M35" s="6" t="s">
        <v>76</v>
      </c>
      <c r="N35" s="13" t="str">
        <f aca="false">IFERROR(INDEX(Rates!$B$5:$B$84,MATCH(M35,Rates!$A$5:$A$84,0)),"")</f>
        <v>Ravi sand (mortar, plaster, blinding, fill)</v>
      </c>
      <c r="O35" s="12" t="n">
        <v>32.8653</v>
      </c>
      <c r="P35" s="14" t="str">
        <f aca="false">IFERROR(INDEX(Rates!$C$5:$C$84,MATCH(M35,Rates!$A$5:$A$84,0)),"")</f>
        <v>cft</v>
      </c>
      <c r="Q35" s="15" t="n">
        <f aca="false">IFERROR(INDEX(Rates!$D$5:$D$84,MATCH(M35,Rates!$A$5:$A$84,0)),0)</f>
        <v>0.08</v>
      </c>
      <c r="R35" s="12" t="n">
        <f aca="false">O35*(1+Q35)</f>
        <v>35.494524</v>
      </c>
      <c r="S35" s="16" t="n">
        <f aca="false">IFERROR(INDEX(Rates!$E$5:$E$84,MATCH(M35,Rates!$A$5:$A$84,0)),0)</f>
        <v>40</v>
      </c>
      <c r="T35" s="7" t="n">
        <f aca="false">R35*S35</f>
        <v>1419.78096</v>
      </c>
      <c r="U35" s="17" t="n">
        <f aca="false">IF(M35="BRK",R35/2000,IF(OR(M35="SNDC",M35="SNDM",M35="CRS",M35="KHG",M35="EARTH"),R35/100,""))</f>
        <v>0.35494524</v>
      </c>
    </row>
    <row r="36" customFormat="false" ht="15" hidden="false" customHeight="false" outlineLevel="0" collapsed="false">
      <c r="A36" s="6" t="s">
        <v>328</v>
      </c>
      <c r="B36" s="6" t="s">
        <v>329</v>
      </c>
      <c r="C36" s="6" t="s">
        <v>362</v>
      </c>
      <c r="D36" s="9"/>
      <c r="E36" s="9"/>
      <c r="F36" s="9"/>
      <c r="G36" s="9"/>
      <c r="H36" s="12"/>
      <c r="I36" s="6"/>
      <c r="J36" s="6" t="s">
        <v>309</v>
      </c>
      <c r="K36" s="6"/>
      <c r="L36" s="6"/>
      <c r="M36" s="6" t="s">
        <v>43</v>
      </c>
      <c r="N36" s="13" t="str">
        <f aca="false">IFERROR(INDEX(Rates!$B$5:$B$84,MATCH(M36,Rates!$A$5:$A$84,0)),"")</f>
        <v>Bricks, first class (awwal), 9" x 4½" x 3"</v>
      </c>
      <c r="O36" s="12" t="n">
        <v>1297.3162</v>
      </c>
      <c r="P36" s="14" t="str">
        <f aca="false">IFERROR(INDEX(Rates!$C$5:$C$84,MATCH(M36,Rates!$A$5:$A$84,0)),"")</f>
        <v>nos</v>
      </c>
      <c r="Q36" s="15" t="n">
        <f aca="false">IFERROR(INDEX(Rates!$D$5:$D$84,MATCH(M36,Rates!$A$5:$A$84,0)),0)</f>
        <v>0.05</v>
      </c>
      <c r="R36" s="12" t="n">
        <f aca="false">O36*(1+Q36)</f>
        <v>1362.18201</v>
      </c>
      <c r="S36" s="16" t="n">
        <f aca="false">IFERROR(INDEX(Rates!$E$5:$E$84,MATCH(M36,Rates!$A$5:$A$84,0)),0)</f>
        <v>16</v>
      </c>
      <c r="T36" s="7" t="n">
        <f aca="false">R36*S36</f>
        <v>21794.91216</v>
      </c>
      <c r="U36" s="17" t="n">
        <f aca="false">IF(M36="BRK",R36/2000,IF(OR(M36="SNDC",M36="SNDM",M36="CRS",M36="KHG",M36="EARTH"),R36/100,""))</f>
        <v>0.681091005</v>
      </c>
    </row>
    <row r="37" customFormat="false" ht="22.35" hidden="false" customHeight="false" outlineLevel="0" collapsed="false">
      <c r="A37" s="6" t="s">
        <v>328</v>
      </c>
      <c r="B37" s="6" t="s">
        <v>329</v>
      </c>
      <c r="C37" s="6" t="s">
        <v>366</v>
      </c>
      <c r="D37" s="9" t="s">
        <v>305</v>
      </c>
      <c r="E37" s="9" t="s">
        <v>367</v>
      </c>
      <c r="F37" s="9" t="s">
        <v>368</v>
      </c>
      <c r="G37" s="9" t="s">
        <v>369</v>
      </c>
      <c r="H37" s="12" t="n">
        <v>100.102</v>
      </c>
      <c r="I37" s="6" t="s">
        <v>71</v>
      </c>
      <c r="J37" s="6" t="s">
        <v>370</v>
      </c>
      <c r="K37" s="6"/>
      <c r="L37" s="6"/>
      <c r="M37" s="6" t="s">
        <v>37</v>
      </c>
      <c r="N37" s="13" t="str">
        <f aca="false">IFERROR(INDEX(Rates!$B$5:$B$84,MATCH(M37,Rates!$A$5:$A$84,0)),"")</f>
        <v>Cement OPC, 50 kg bag (Lucky / Bestway / Maple Leaf)</v>
      </c>
      <c r="O37" s="12" t="n">
        <v>4.5646</v>
      </c>
      <c r="P37" s="14" t="str">
        <f aca="false">IFERROR(INDEX(Rates!$C$5:$C$84,MATCH(M37,Rates!$A$5:$A$84,0)),"")</f>
        <v>bag</v>
      </c>
      <c r="Q37" s="15" t="n">
        <f aca="false">IFERROR(INDEX(Rates!$D$5:$D$84,MATCH(M37,Rates!$A$5:$A$84,0)),0)</f>
        <v>0.03</v>
      </c>
      <c r="R37" s="12" t="n">
        <f aca="false">O37*(1+Q37)</f>
        <v>4.701538</v>
      </c>
      <c r="S37" s="16" t="n">
        <f aca="false">IFERROR(INDEX(Rates!$E$5:$E$84,MATCH(M37,Rates!$A$5:$A$84,0)),0)</f>
        <v>1560</v>
      </c>
      <c r="T37" s="7" t="n">
        <f aca="false">R37*S37</f>
        <v>7334.39928</v>
      </c>
      <c r="U37" s="17" t="str">
        <f aca="false">IF(M37="BRK",R37/2000,IF(OR(M37="SNDC",M37="SNDM",M37="CRS",M37="KHG",M37="EARTH"),R37/100,""))</f>
        <v/>
      </c>
    </row>
    <row r="38" customFormat="false" ht="15" hidden="false" customHeight="false" outlineLevel="0" collapsed="false">
      <c r="A38" s="6" t="s">
        <v>328</v>
      </c>
      <c r="B38" s="6" t="s">
        <v>329</v>
      </c>
      <c r="C38" s="6" t="s">
        <v>366</v>
      </c>
      <c r="D38" s="9"/>
      <c r="E38" s="9"/>
      <c r="F38" s="9"/>
      <c r="G38" s="9"/>
      <c r="H38" s="12"/>
      <c r="I38" s="6"/>
      <c r="J38" s="6" t="s">
        <v>370</v>
      </c>
      <c r="K38" s="6"/>
      <c r="L38" s="6"/>
      <c r="M38" s="6" t="s">
        <v>76</v>
      </c>
      <c r="N38" s="13" t="str">
        <f aca="false">IFERROR(INDEX(Rates!$B$5:$B$84,MATCH(M38,Rates!$A$5:$A$84,0)),"")</f>
        <v>Ravi sand (mortar, plaster, blinding, fill)</v>
      </c>
      <c r="O38" s="12" t="n">
        <v>34.2347</v>
      </c>
      <c r="P38" s="14" t="str">
        <f aca="false">IFERROR(INDEX(Rates!$C$5:$C$84,MATCH(M38,Rates!$A$5:$A$84,0)),"")</f>
        <v>cft</v>
      </c>
      <c r="Q38" s="15" t="n">
        <f aca="false">IFERROR(INDEX(Rates!$D$5:$D$84,MATCH(M38,Rates!$A$5:$A$84,0)),0)</f>
        <v>0.08</v>
      </c>
      <c r="R38" s="12" t="n">
        <f aca="false">O38*(1+Q38)</f>
        <v>36.973476</v>
      </c>
      <c r="S38" s="16" t="n">
        <f aca="false">IFERROR(INDEX(Rates!$E$5:$E$84,MATCH(M38,Rates!$A$5:$A$84,0)),0)</f>
        <v>40</v>
      </c>
      <c r="T38" s="7" t="n">
        <f aca="false">R38*S38</f>
        <v>1478.93904</v>
      </c>
      <c r="U38" s="17" t="n">
        <f aca="false">IF(M38="BRK",R38/2000,IF(OR(M38="SNDC",M38="SNDM",M38="CRS",M38="KHG",M38="EARTH"),R38/100,""))</f>
        <v>0.36973476</v>
      </c>
    </row>
    <row r="39" customFormat="false" ht="15" hidden="false" customHeight="false" outlineLevel="0" collapsed="false">
      <c r="A39" s="6" t="s">
        <v>328</v>
      </c>
      <c r="B39" s="6" t="s">
        <v>329</v>
      </c>
      <c r="C39" s="6" t="s">
        <v>366</v>
      </c>
      <c r="D39" s="9"/>
      <c r="E39" s="9"/>
      <c r="F39" s="9"/>
      <c r="G39" s="9"/>
      <c r="H39" s="12"/>
      <c r="I39" s="6"/>
      <c r="J39" s="6" t="s">
        <v>370</v>
      </c>
      <c r="K39" s="6"/>
      <c r="L39" s="6"/>
      <c r="M39" s="6" t="s">
        <v>43</v>
      </c>
      <c r="N39" s="13" t="str">
        <f aca="false">IFERROR(INDEX(Rates!$B$5:$B$84,MATCH(M39,Rates!$A$5:$A$84,0)),"")</f>
        <v>Bricks, first class (awwal), 9" x 4½" x 3"</v>
      </c>
      <c r="O39" s="12" t="n">
        <v>1351.3711</v>
      </c>
      <c r="P39" s="14" t="str">
        <f aca="false">IFERROR(INDEX(Rates!$C$5:$C$84,MATCH(M39,Rates!$A$5:$A$84,0)),"")</f>
        <v>nos</v>
      </c>
      <c r="Q39" s="15" t="n">
        <f aca="false">IFERROR(INDEX(Rates!$D$5:$D$84,MATCH(M39,Rates!$A$5:$A$84,0)),0)</f>
        <v>0.05</v>
      </c>
      <c r="R39" s="12" t="n">
        <f aca="false">O39*(1+Q39)</f>
        <v>1418.939655</v>
      </c>
      <c r="S39" s="16" t="n">
        <f aca="false">IFERROR(INDEX(Rates!$E$5:$E$84,MATCH(M39,Rates!$A$5:$A$84,0)),0)</f>
        <v>16</v>
      </c>
      <c r="T39" s="7" t="n">
        <f aca="false">R39*S39</f>
        <v>22703.03448</v>
      </c>
      <c r="U39" s="17" t="n">
        <f aca="false">IF(M39="BRK",R39/2000,IF(OR(M39="SNDC",M39="SNDM",M39="CRS",M39="KHG",M39="EARTH"),R39/100,""))</f>
        <v>0.7094698275</v>
      </c>
    </row>
    <row r="40" customFormat="false" ht="22.35" hidden="false" customHeight="false" outlineLevel="0" collapsed="false">
      <c r="A40" s="6" t="s">
        <v>328</v>
      </c>
      <c r="B40" s="6" t="s">
        <v>329</v>
      </c>
      <c r="C40" s="6" t="s">
        <v>371</v>
      </c>
      <c r="D40" s="9" t="s">
        <v>305</v>
      </c>
      <c r="E40" s="9" t="s">
        <v>372</v>
      </c>
      <c r="F40" s="9" t="s">
        <v>373</v>
      </c>
      <c r="G40" s="9" t="s">
        <v>374</v>
      </c>
      <c r="H40" s="12" t="n">
        <v>4.004</v>
      </c>
      <c r="I40" s="6" t="s">
        <v>71</v>
      </c>
      <c r="J40" s="6" t="s">
        <v>375</v>
      </c>
      <c r="K40" s="6"/>
      <c r="L40" s="6"/>
      <c r="M40" s="6" t="s">
        <v>37</v>
      </c>
      <c r="N40" s="13" t="str">
        <f aca="false">IFERROR(INDEX(Rates!$B$5:$B$84,MATCH(M40,Rates!$A$5:$A$84,0)),"")</f>
        <v>Cement OPC, 50 kg bag (Lucky / Bestway / Maple Leaf)</v>
      </c>
      <c r="O40" s="12" t="n">
        <v>0.7184</v>
      </c>
      <c r="P40" s="14" t="str">
        <f aca="false">IFERROR(INDEX(Rates!$C$5:$C$84,MATCH(M40,Rates!$A$5:$A$84,0)),"")</f>
        <v>bag</v>
      </c>
      <c r="Q40" s="15" t="n">
        <f aca="false">IFERROR(INDEX(Rates!$D$5:$D$84,MATCH(M40,Rates!$A$5:$A$84,0)),0)</f>
        <v>0.03</v>
      </c>
      <c r="R40" s="12" t="n">
        <f aca="false">O40*(1+Q40)</f>
        <v>0.739952</v>
      </c>
      <c r="S40" s="16" t="n">
        <f aca="false">IFERROR(INDEX(Rates!$E$5:$E$84,MATCH(M40,Rates!$A$5:$A$84,0)),0)</f>
        <v>1560</v>
      </c>
      <c r="T40" s="7" t="n">
        <f aca="false">R40*S40</f>
        <v>1154.32512</v>
      </c>
      <c r="U40" s="17" t="str">
        <f aca="false">IF(M40="BRK",R40/2000,IF(OR(M40="SNDC",M40="SNDM",M40="CRS",M40="KHG",M40="EARTH"),R40/100,""))</f>
        <v/>
      </c>
    </row>
    <row r="41" customFormat="false" ht="15" hidden="false" customHeight="false" outlineLevel="0" collapsed="false">
      <c r="A41" s="6" t="s">
        <v>328</v>
      </c>
      <c r="B41" s="6" t="s">
        <v>329</v>
      </c>
      <c r="C41" s="6" t="s">
        <v>371</v>
      </c>
      <c r="D41" s="9"/>
      <c r="E41" s="9"/>
      <c r="F41" s="9"/>
      <c r="G41" s="9"/>
      <c r="H41" s="12"/>
      <c r="I41" s="6"/>
      <c r="J41" s="6" t="s">
        <v>375</v>
      </c>
      <c r="K41" s="6"/>
      <c r="L41" s="6"/>
      <c r="M41" s="6" t="s">
        <v>69</v>
      </c>
      <c r="N41" s="13" t="str">
        <f aca="false">IFERROR(INDEX(Rates!$B$5:$B$84,MATCH(M41,Rates!$A$5:$A$84,0)),"")</f>
        <v>Chenab sand (concrete, screed)</v>
      </c>
      <c r="O41" s="12" t="n">
        <v>1.7961</v>
      </c>
      <c r="P41" s="14" t="str">
        <f aca="false">IFERROR(INDEX(Rates!$C$5:$C$84,MATCH(M41,Rates!$A$5:$A$84,0)),"")</f>
        <v>cft</v>
      </c>
      <c r="Q41" s="15" t="n">
        <f aca="false">IFERROR(INDEX(Rates!$D$5:$D$84,MATCH(M41,Rates!$A$5:$A$84,0)),0)</f>
        <v>0.08</v>
      </c>
      <c r="R41" s="12" t="n">
        <f aca="false">O41*(1+Q41)</f>
        <v>1.939788</v>
      </c>
      <c r="S41" s="16" t="n">
        <f aca="false">IFERROR(INDEX(Rates!$E$5:$E$84,MATCH(M41,Rates!$A$5:$A$84,0)),0)</f>
        <v>65</v>
      </c>
      <c r="T41" s="7" t="n">
        <f aca="false">R41*S41</f>
        <v>126.08622</v>
      </c>
      <c r="U41" s="17" t="n">
        <f aca="false">IF(M41="BRK",R41/2000,IF(OR(M41="SNDC",M41="SNDM",M41="CRS",M41="KHG",M41="EARTH"),R41/100,""))</f>
        <v>0.01939788</v>
      </c>
    </row>
    <row r="42" customFormat="false" ht="15" hidden="false" customHeight="false" outlineLevel="0" collapsed="false">
      <c r="A42" s="6" t="s">
        <v>328</v>
      </c>
      <c r="B42" s="6" t="s">
        <v>329</v>
      </c>
      <c r="C42" s="6" t="s">
        <v>371</v>
      </c>
      <c r="D42" s="9"/>
      <c r="E42" s="9"/>
      <c r="F42" s="9"/>
      <c r="G42" s="9"/>
      <c r="H42" s="12"/>
      <c r="I42" s="6"/>
      <c r="J42" s="6" t="s">
        <v>375</v>
      </c>
      <c r="K42" s="6"/>
      <c r="L42" s="6"/>
      <c r="M42" s="6" t="s">
        <v>79</v>
      </c>
      <c r="N42" s="13" t="str">
        <f aca="false">IFERROR(INDEX(Rates!$B$5:$B$84,MATCH(M42,Rates!$A$5:$A$84,0)),"")</f>
        <v>Crush ¾" down, Sargodha (bajri)</v>
      </c>
      <c r="O42" s="12" t="n">
        <v>3.5922</v>
      </c>
      <c r="P42" s="14" t="str">
        <f aca="false">IFERROR(INDEX(Rates!$C$5:$C$84,MATCH(M42,Rates!$A$5:$A$84,0)),"")</f>
        <v>cft</v>
      </c>
      <c r="Q42" s="15" t="n">
        <f aca="false">IFERROR(INDEX(Rates!$D$5:$D$84,MATCH(M42,Rates!$A$5:$A$84,0)),0)</f>
        <v>0.05</v>
      </c>
      <c r="R42" s="12" t="n">
        <f aca="false">O42*(1+Q42)</f>
        <v>3.77181</v>
      </c>
      <c r="S42" s="16" t="n">
        <f aca="false">IFERROR(INDEX(Rates!$E$5:$E$84,MATCH(M42,Rates!$A$5:$A$84,0)),0)</f>
        <v>110</v>
      </c>
      <c r="T42" s="7" t="n">
        <f aca="false">R42*S42</f>
        <v>414.8991</v>
      </c>
      <c r="U42" s="17" t="n">
        <f aca="false">IF(M42="BRK",R42/2000,IF(OR(M42="SNDC",M42="SNDM",M42="CRS",M42="KHG",M42="EARTH"),R42/100,""))</f>
        <v>0.0377181</v>
      </c>
    </row>
    <row r="43" customFormat="false" ht="22.35" hidden="false" customHeight="false" outlineLevel="0" collapsed="false">
      <c r="A43" s="6" t="s">
        <v>328</v>
      </c>
      <c r="B43" s="6" t="s">
        <v>329</v>
      </c>
      <c r="C43" s="6" t="s">
        <v>371</v>
      </c>
      <c r="D43" s="9"/>
      <c r="E43" s="9"/>
      <c r="F43" s="9"/>
      <c r="G43" s="9"/>
      <c r="H43" s="12"/>
      <c r="I43" s="6"/>
      <c r="J43" s="6" t="s">
        <v>375</v>
      </c>
      <c r="K43" s="6"/>
      <c r="L43" s="6"/>
      <c r="M43" s="6" t="s">
        <v>97</v>
      </c>
      <c r="N43" s="13" t="str">
        <f aca="false">IFERROR(INDEX(Rates!$B$5:$B$84,MATCH(M43,Rates!$A$5:$A$84,0)),"")</f>
        <v>Integral waterproofing compound (powder), 1 kg per bag of cement</v>
      </c>
      <c r="O43" s="12" t="n">
        <v>0.7184</v>
      </c>
      <c r="P43" s="14" t="str">
        <f aca="false">IFERROR(INDEX(Rates!$C$5:$C$84,MATCH(M43,Rates!$A$5:$A$84,0)),"")</f>
        <v>kg</v>
      </c>
      <c r="Q43" s="15" t="n">
        <f aca="false">IFERROR(INDEX(Rates!$D$5:$D$84,MATCH(M43,Rates!$A$5:$A$84,0)),0)</f>
        <v>0</v>
      </c>
      <c r="R43" s="12" t="n">
        <f aca="false">O43*(1+Q43)</f>
        <v>0.7184</v>
      </c>
      <c r="S43" s="16" t="n">
        <f aca="false">IFERROR(INDEX(Rates!$E$5:$E$84,MATCH(M43,Rates!$A$5:$A$84,0)),0)</f>
        <v>350</v>
      </c>
      <c r="T43" s="7" t="n">
        <f aca="false">R43*S43</f>
        <v>251.44</v>
      </c>
      <c r="U43" s="17" t="str">
        <f aca="false">IF(M43="BRK",R43/2000,IF(OR(M43="SNDC",M43="SNDM",M43="CRS",M43="KHG",M43="EARTH"),R43/100,""))</f>
        <v/>
      </c>
    </row>
    <row r="44" customFormat="false" ht="15" hidden="false" customHeight="false" outlineLevel="0" collapsed="false">
      <c r="A44" s="6" t="s">
        <v>328</v>
      </c>
      <c r="B44" s="6" t="s">
        <v>329</v>
      </c>
      <c r="C44" s="6" t="s">
        <v>371</v>
      </c>
      <c r="D44" s="9"/>
      <c r="E44" s="9"/>
      <c r="F44" s="9"/>
      <c r="G44" s="9"/>
      <c r="H44" s="12"/>
      <c r="I44" s="6"/>
      <c r="J44" s="6" t="s">
        <v>375</v>
      </c>
      <c r="K44" s="6"/>
      <c r="L44" s="6"/>
      <c r="M44" s="6" t="s">
        <v>93</v>
      </c>
      <c r="N44" s="13" t="str">
        <f aca="false">IFERROR(INDEX(Rates!$B$5:$B$84,MATCH(M44,Rates!$A$5:$A$84,0)),"")</f>
        <v>Hot bitumen 60/70 (drum)</v>
      </c>
      <c r="O44" s="12" t="n">
        <v>12.813</v>
      </c>
      <c r="P44" s="14" t="str">
        <f aca="false">IFERROR(INDEX(Rates!$C$5:$C$84,MATCH(M44,Rates!$A$5:$A$84,0)),"")</f>
        <v>kg</v>
      </c>
      <c r="Q44" s="15" t="n">
        <f aca="false">IFERROR(INDEX(Rates!$D$5:$D$84,MATCH(M44,Rates!$A$5:$A$84,0)),0)</f>
        <v>0.05</v>
      </c>
      <c r="R44" s="12" t="n">
        <f aca="false">O44*(1+Q44)</f>
        <v>13.45365</v>
      </c>
      <c r="S44" s="16" t="n">
        <f aca="false">IFERROR(INDEX(Rates!$E$5:$E$84,MATCH(M44,Rates!$A$5:$A$84,0)),0)</f>
        <v>280</v>
      </c>
      <c r="T44" s="7" t="n">
        <f aca="false">R44*S44</f>
        <v>3767.022</v>
      </c>
      <c r="U44" s="17" t="str">
        <f aca="false">IF(M44="BRK",R44/2000,IF(OR(M44="SNDC",M44="SNDM",M44="CRS",M44="KHG",M44="EARTH"),R44/100,""))</f>
        <v/>
      </c>
    </row>
    <row r="45" customFormat="false" ht="32.8" hidden="false" customHeight="false" outlineLevel="0" collapsed="false">
      <c r="A45" s="6" t="s">
        <v>376</v>
      </c>
      <c r="B45" s="6" t="s">
        <v>377</v>
      </c>
      <c r="C45" s="6" t="s">
        <v>378</v>
      </c>
      <c r="D45" s="9" t="s">
        <v>292</v>
      </c>
      <c r="E45" s="9" t="s">
        <v>379</v>
      </c>
      <c r="F45" s="9" t="s">
        <v>380</v>
      </c>
      <c r="G45" s="9" t="s">
        <v>381</v>
      </c>
      <c r="H45" s="12" t="n">
        <v>202.926</v>
      </c>
      <c r="I45" s="6" t="s">
        <v>71</v>
      </c>
      <c r="J45" s="6" t="s">
        <v>382</v>
      </c>
      <c r="K45" s="6" t="s">
        <v>383</v>
      </c>
      <c r="L45" s="6"/>
      <c r="M45" s="6" t="s">
        <v>37</v>
      </c>
      <c r="N45" s="13" t="str">
        <f aca="false">IFERROR(INDEX(Rates!$B$5:$B$84,MATCH(M45,Rates!$A$5:$A$84,0)),"")</f>
        <v>Cement OPC, 50 kg bag (Lucky / Bestway / Maple Leaf)</v>
      </c>
      <c r="O45" s="12" t="n">
        <v>36.4108</v>
      </c>
      <c r="P45" s="14" t="str">
        <f aca="false">IFERROR(INDEX(Rates!$C$5:$C$84,MATCH(M45,Rates!$A$5:$A$84,0)),"")</f>
        <v>bag</v>
      </c>
      <c r="Q45" s="15" t="n">
        <f aca="false">IFERROR(INDEX(Rates!$D$5:$D$84,MATCH(M45,Rates!$A$5:$A$84,0)),0)</f>
        <v>0.03</v>
      </c>
      <c r="R45" s="12" t="n">
        <f aca="false">O45*(1+Q45)</f>
        <v>37.503124</v>
      </c>
      <c r="S45" s="16" t="n">
        <f aca="false">IFERROR(INDEX(Rates!$E$5:$E$84,MATCH(M45,Rates!$A$5:$A$84,0)),0)</f>
        <v>1560</v>
      </c>
      <c r="T45" s="7" t="n">
        <f aca="false">R45*S45</f>
        <v>58504.87344</v>
      </c>
      <c r="U45" s="17" t="str">
        <f aca="false">IF(M45="BRK",R45/2000,IF(OR(M45="SNDC",M45="SNDM",M45="CRS",M45="KHG",M45="EARTH"),R45/100,""))</f>
        <v/>
      </c>
    </row>
    <row r="46" customFormat="false" ht="15" hidden="false" customHeight="false" outlineLevel="0" collapsed="false">
      <c r="A46" s="6" t="s">
        <v>376</v>
      </c>
      <c r="B46" s="6" t="s">
        <v>377</v>
      </c>
      <c r="C46" s="6" t="s">
        <v>378</v>
      </c>
      <c r="D46" s="9"/>
      <c r="E46" s="9"/>
      <c r="F46" s="9"/>
      <c r="G46" s="9"/>
      <c r="H46" s="12"/>
      <c r="I46" s="6"/>
      <c r="J46" s="6" t="s">
        <v>382</v>
      </c>
      <c r="K46" s="6" t="s">
        <v>383</v>
      </c>
      <c r="L46" s="6"/>
      <c r="M46" s="6" t="s">
        <v>69</v>
      </c>
      <c r="N46" s="13" t="str">
        <f aca="false">IFERROR(INDEX(Rates!$B$5:$B$84,MATCH(M46,Rates!$A$5:$A$84,0)),"")</f>
        <v>Chenab sand (concrete, screed)</v>
      </c>
      <c r="O46" s="12" t="n">
        <v>91.027</v>
      </c>
      <c r="P46" s="14" t="str">
        <f aca="false">IFERROR(INDEX(Rates!$C$5:$C$84,MATCH(M46,Rates!$A$5:$A$84,0)),"")</f>
        <v>cft</v>
      </c>
      <c r="Q46" s="15" t="n">
        <f aca="false">IFERROR(INDEX(Rates!$D$5:$D$84,MATCH(M46,Rates!$A$5:$A$84,0)),0)</f>
        <v>0.08</v>
      </c>
      <c r="R46" s="12" t="n">
        <f aca="false">O46*(1+Q46)</f>
        <v>98.30916</v>
      </c>
      <c r="S46" s="16" t="n">
        <f aca="false">IFERROR(INDEX(Rates!$E$5:$E$84,MATCH(M46,Rates!$A$5:$A$84,0)),0)</f>
        <v>65</v>
      </c>
      <c r="T46" s="7" t="n">
        <f aca="false">R46*S46</f>
        <v>6390.0954</v>
      </c>
      <c r="U46" s="17" t="n">
        <f aca="false">IF(M46="BRK",R46/2000,IF(OR(M46="SNDC",M46="SNDM",M46="CRS",M46="KHG",M46="EARTH"),R46/100,""))</f>
        <v>0.9830916</v>
      </c>
    </row>
    <row r="47" customFormat="false" ht="15" hidden="false" customHeight="false" outlineLevel="0" collapsed="false">
      <c r="A47" s="6" t="s">
        <v>376</v>
      </c>
      <c r="B47" s="6" t="s">
        <v>377</v>
      </c>
      <c r="C47" s="6" t="s">
        <v>378</v>
      </c>
      <c r="D47" s="9"/>
      <c r="E47" s="9"/>
      <c r="F47" s="9"/>
      <c r="G47" s="9"/>
      <c r="H47" s="12"/>
      <c r="I47" s="6"/>
      <c r="J47" s="6" t="s">
        <v>382</v>
      </c>
      <c r="K47" s="6" t="s">
        <v>383</v>
      </c>
      <c r="L47" s="6"/>
      <c r="M47" s="6" t="s">
        <v>79</v>
      </c>
      <c r="N47" s="13" t="str">
        <f aca="false">IFERROR(INDEX(Rates!$B$5:$B$84,MATCH(M47,Rates!$A$5:$A$84,0)),"")</f>
        <v>Crush ¾" down, Sargodha (bajri)</v>
      </c>
      <c r="O47" s="12" t="n">
        <v>182.054</v>
      </c>
      <c r="P47" s="14" t="str">
        <f aca="false">IFERROR(INDEX(Rates!$C$5:$C$84,MATCH(M47,Rates!$A$5:$A$84,0)),"")</f>
        <v>cft</v>
      </c>
      <c r="Q47" s="15" t="n">
        <f aca="false">IFERROR(INDEX(Rates!$D$5:$D$84,MATCH(M47,Rates!$A$5:$A$84,0)),0)</f>
        <v>0.05</v>
      </c>
      <c r="R47" s="12" t="n">
        <f aca="false">O47*(1+Q47)</f>
        <v>191.1567</v>
      </c>
      <c r="S47" s="16" t="n">
        <f aca="false">IFERROR(INDEX(Rates!$E$5:$E$84,MATCH(M47,Rates!$A$5:$A$84,0)),0)</f>
        <v>110</v>
      </c>
      <c r="T47" s="7" t="n">
        <f aca="false">R47*S47</f>
        <v>21027.237</v>
      </c>
      <c r="U47" s="17" t="n">
        <f aca="false">IF(M47="BRK",R47/2000,IF(OR(M47="SNDC",M47="SNDM",M47="CRS",M47="KHG",M47="EARTH"),R47/100,""))</f>
        <v>1.911567</v>
      </c>
    </row>
    <row r="48" customFormat="false" ht="15" hidden="false" customHeight="false" outlineLevel="0" collapsed="false">
      <c r="A48" s="6" t="s">
        <v>376</v>
      </c>
      <c r="B48" s="6" t="s">
        <v>377</v>
      </c>
      <c r="C48" s="6" t="s">
        <v>378</v>
      </c>
      <c r="D48" s="9"/>
      <c r="E48" s="9"/>
      <c r="F48" s="9"/>
      <c r="G48" s="9"/>
      <c r="H48" s="12"/>
      <c r="I48" s="6"/>
      <c r="J48" s="6" t="s">
        <v>382</v>
      </c>
      <c r="K48" s="6" t="s">
        <v>383</v>
      </c>
      <c r="L48" s="6"/>
      <c r="M48" s="6" t="s">
        <v>59</v>
      </c>
      <c r="N48" s="13" t="str">
        <f aca="false">IFERROR(INDEX(Rates!$B$5:$B$84,MATCH(M48,Rates!$A$5:$A$84,0)),"")</f>
        <v>Steel Grade 60 deformed, #4 (12 mm)</v>
      </c>
      <c r="O48" s="12" t="n">
        <v>489.9505</v>
      </c>
      <c r="P48" s="14" t="str">
        <f aca="false">IFERROR(INDEX(Rates!$C$5:$C$84,MATCH(M48,Rates!$A$5:$A$84,0)),"")</f>
        <v>kg</v>
      </c>
      <c r="Q48" s="15" t="n">
        <f aca="false">IFERROR(INDEX(Rates!$D$5:$D$84,MATCH(M48,Rates!$A$5:$A$84,0)),0)</f>
        <v>0.04</v>
      </c>
      <c r="R48" s="12" t="n">
        <f aca="false">O48*(1+Q48)</f>
        <v>509.54852</v>
      </c>
      <c r="S48" s="16" t="n">
        <f aca="false">IFERROR(INDEX(Rates!$E$5:$E$84,MATCH(M48,Rates!$A$5:$A$84,0)),0)</f>
        <v>262</v>
      </c>
      <c r="T48" s="7" t="n">
        <f aca="false">R48*S48</f>
        <v>133501.71224</v>
      </c>
      <c r="U48" s="17" t="str">
        <f aca="false">IF(M48="BRK",R48/2000,IF(OR(M48="SNDC",M48="SNDM",M48="CRS",M48="KHG",M48="EARTH"),R48/100,""))</f>
        <v/>
      </c>
    </row>
    <row r="49" customFormat="false" ht="22.35" hidden="false" customHeight="false" outlineLevel="0" collapsed="false">
      <c r="A49" s="6" t="s">
        <v>376</v>
      </c>
      <c r="B49" s="6" t="s">
        <v>377</v>
      </c>
      <c r="C49" s="6" t="s">
        <v>378</v>
      </c>
      <c r="D49" s="9"/>
      <c r="E49" s="9"/>
      <c r="F49" s="9"/>
      <c r="G49" s="9"/>
      <c r="H49" s="12"/>
      <c r="I49" s="6"/>
      <c r="J49" s="6" t="s">
        <v>382</v>
      </c>
      <c r="K49" s="6" t="s">
        <v>383</v>
      </c>
      <c r="L49" s="6"/>
      <c r="M49" s="6" t="s">
        <v>50</v>
      </c>
      <c r="N49" s="13" t="str">
        <f aca="false">IFERROR(INDEX(Rates!$B$5:$B$84,MATCH(M49,Rates!$A$5:$A$84,0)),"")</f>
        <v>Steel Grade 60 deformed, #2 (6 mm) rings</v>
      </c>
      <c r="O49" s="12" t="n">
        <v>78.6926</v>
      </c>
      <c r="P49" s="14" t="str">
        <f aca="false">IFERROR(INDEX(Rates!$C$5:$C$84,MATCH(M49,Rates!$A$5:$A$84,0)),"")</f>
        <v>kg</v>
      </c>
      <c r="Q49" s="15" t="n">
        <f aca="false">IFERROR(INDEX(Rates!$D$5:$D$84,MATCH(M49,Rates!$A$5:$A$84,0)),0)</f>
        <v>0.04</v>
      </c>
      <c r="R49" s="12" t="n">
        <f aca="false">O49*(1+Q49)</f>
        <v>81.840304</v>
      </c>
      <c r="S49" s="16" t="n">
        <f aca="false">IFERROR(INDEX(Rates!$E$5:$E$84,MATCH(M49,Rates!$A$5:$A$84,0)),0)</f>
        <v>270</v>
      </c>
      <c r="T49" s="7" t="n">
        <f aca="false">R49*S49</f>
        <v>22096.88208</v>
      </c>
      <c r="U49" s="17" t="str">
        <f aca="false">IF(M49="BRK",R49/2000,IF(OR(M49="SNDC",M49="SNDM",M49="CRS",M49="KHG",M49="EARTH"),R49/100,""))</f>
        <v/>
      </c>
    </row>
    <row r="50" customFormat="false" ht="32.8" hidden="false" customHeight="false" outlineLevel="0" collapsed="false">
      <c r="A50" s="6" t="s">
        <v>376</v>
      </c>
      <c r="B50" s="6" t="s">
        <v>377</v>
      </c>
      <c r="C50" s="6" t="s">
        <v>384</v>
      </c>
      <c r="D50" s="9" t="s">
        <v>292</v>
      </c>
      <c r="E50" s="9" t="s">
        <v>385</v>
      </c>
      <c r="F50" s="9" t="s">
        <v>386</v>
      </c>
      <c r="G50" s="9" t="s">
        <v>387</v>
      </c>
      <c r="H50" s="12" t="n">
        <v>33.821</v>
      </c>
      <c r="I50" s="6" t="s">
        <v>71</v>
      </c>
      <c r="J50" s="6" t="s">
        <v>388</v>
      </c>
      <c r="K50" s="6"/>
      <c r="L50" s="6"/>
      <c r="M50" s="6" t="s">
        <v>37</v>
      </c>
      <c r="N50" s="13" t="str">
        <f aca="false">IFERROR(INDEX(Rates!$B$5:$B$84,MATCH(M50,Rates!$A$5:$A$84,0)),"")</f>
        <v>Cement OPC, 50 kg bag (Lucky / Bestway / Maple Leaf)</v>
      </c>
      <c r="O50" s="12" t="n">
        <v>6.0685</v>
      </c>
      <c r="P50" s="14" t="str">
        <f aca="false">IFERROR(INDEX(Rates!$C$5:$C$84,MATCH(M50,Rates!$A$5:$A$84,0)),"")</f>
        <v>bag</v>
      </c>
      <c r="Q50" s="15" t="n">
        <f aca="false">IFERROR(INDEX(Rates!$D$5:$D$84,MATCH(M50,Rates!$A$5:$A$84,0)),0)</f>
        <v>0.03</v>
      </c>
      <c r="R50" s="12" t="n">
        <f aca="false">O50*(1+Q50)</f>
        <v>6.250555</v>
      </c>
      <c r="S50" s="16" t="n">
        <f aca="false">IFERROR(INDEX(Rates!$E$5:$E$84,MATCH(M50,Rates!$A$5:$A$84,0)),0)</f>
        <v>1560</v>
      </c>
      <c r="T50" s="7" t="n">
        <f aca="false">R50*S50</f>
        <v>9750.8658</v>
      </c>
      <c r="U50" s="17" t="str">
        <f aca="false">IF(M50="BRK",R50/2000,IF(OR(M50="SNDC",M50="SNDM",M50="CRS",M50="KHG",M50="EARTH"),R50/100,""))</f>
        <v/>
      </c>
    </row>
    <row r="51" customFormat="false" ht="15" hidden="false" customHeight="false" outlineLevel="0" collapsed="false">
      <c r="A51" s="6" t="s">
        <v>376</v>
      </c>
      <c r="B51" s="6" t="s">
        <v>377</v>
      </c>
      <c r="C51" s="6" t="s">
        <v>384</v>
      </c>
      <c r="D51" s="9"/>
      <c r="E51" s="9"/>
      <c r="F51" s="9"/>
      <c r="G51" s="9"/>
      <c r="H51" s="12"/>
      <c r="I51" s="6"/>
      <c r="J51" s="6" t="s">
        <v>388</v>
      </c>
      <c r="K51" s="6"/>
      <c r="L51" s="6"/>
      <c r="M51" s="6" t="s">
        <v>69</v>
      </c>
      <c r="N51" s="13" t="str">
        <f aca="false">IFERROR(INDEX(Rates!$B$5:$B$84,MATCH(M51,Rates!$A$5:$A$84,0)),"")</f>
        <v>Chenab sand (concrete, screed)</v>
      </c>
      <c r="O51" s="12" t="n">
        <v>15.1712</v>
      </c>
      <c r="P51" s="14" t="str">
        <f aca="false">IFERROR(INDEX(Rates!$C$5:$C$84,MATCH(M51,Rates!$A$5:$A$84,0)),"")</f>
        <v>cft</v>
      </c>
      <c r="Q51" s="15" t="n">
        <f aca="false">IFERROR(INDEX(Rates!$D$5:$D$84,MATCH(M51,Rates!$A$5:$A$84,0)),0)</f>
        <v>0.08</v>
      </c>
      <c r="R51" s="12" t="n">
        <f aca="false">O51*(1+Q51)</f>
        <v>16.384896</v>
      </c>
      <c r="S51" s="16" t="n">
        <f aca="false">IFERROR(INDEX(Rates!$E$5:$E$84,MATCH(M51,Rates!$A$5:$A$84,0)),0)</f>
        <v>65</v>
      </c>
      <c r="T51" s="7" t="n">
        <f aca="false">R51*S51</f>
        <v>1065.01824</v>
      </c>
      <c r="U51" s="17" t="n">
        <f aca="false">IF(M51="BRK",R51/2000,IF(OR(M51="SNDC",M51="SNDM",M51="CRS",M51="KHG",M51="EARTH"),R51/100,""))</f>
        <v>0.16384896</v>
      </c>
    </row>
    <row r="52" customFormat="false" ht="15" hidden="false" customHeight="false" outlineLevel="0" collapsed="false">
      <c r="A52" s="6" t="s">
        <v>376</v>
      </c>
      <c r="B52" s="6" t="s">
        <v>377</v>
      </c>
      <c r="C52" s="6" t="s">
        <v>384</v>
      </c>
      <c r="D52" s="9"/>
      <c r="E52" s="9"/>
      <c r="F52" s="9"/>
      <c r="G52" s="9"/>
      <c r="H52" s="12"/>
      <c r="I52" s="6"/>
      <c r="J52" s="6" t="s">
        <v>388</v>
      </c>
      <c r="K52" s="6"/>
      <c r="L52" s="6"/>
      <c r="M52" s="6" t="s">
        <v>79</v>
      </c>
      <c r="N52" s="13" t="str">
        <f aca="false">IFERROR(INDEX(Rates!$B$5:$B$84,MATCH(M52,Rates!$A$5:$A$84,0)),"")</f>
        <v>Crush ¾" down, Sargodha (bajri)</v>
      </c>
      <c r="O52" s="12" t="n">
        <v>30.3423</v>
      </c>
      <c r="P52" s="14" t="str">
        <f aca="false">IFERROR(INDEX(Rates!$C$5:$C$84,MATCH(M52,Rates!$A$5:$A$84,0)),"")</f>
        <v>cft</v>
      </c>
      <c r="Q52" s="15" t="n">
        <f aca="false">IFERROR(INDEX(Rates!$D$5:$D$84,MATCH(M52,Rates!$A$5:$A$84,0)),0)</f>
        <v>0.05</v>
      </c>
      <c r="R52" s="12" t="n">
        <f aca="false">O52*(1+Q52)</f>
        <v>31.859415</v>
      </c>
      <c r="S52" s="16" t="n">
        <f aca="false">IFERROR(INDEX(Rates!$E$5:$E$84,MATCH(M52,Rates!$A$5:$A$84,0)),0)</f>
        <v>110</v>
      </c>
      <c r="T52" s="7" t="n">
        <f aca="false">R52*S52</f>
        <v>3504.53565</v>
      </c>
      <c r="U52" s="17" t="n">
        <f aca="false">IF(M52="BRK",R52/2000,IF(OR(M52="SNDC",M52="SNDM",M52="CRS",M52="KHG",M52="EARTH"),R52/100,""))</f>
        <v>0.31859415</v>
      </c>
    </row>
    <row r="53" customFormat="false" ht="22.35" hidden="false" customHeight="false" outlineLevel="0" collapsed="false">
      <c r="A53" s="6" t="s">
        <v>376</v>
      </c>
      <c r="B53" s="6" t="s">
        <v>377</v>
      </c>
      <c r="C53" s="6" t="s">
        <v>384</v>
      </c>
      <c r="D53" s="9"/>
      <c r="E53" s="9"/>
      <c r="F53" s="9"/>
      <c r="G53" s="9"/>
      <c r="H53" s="12"/>
      <c r="I53" s="6"/>
      <c r="J53" s="6" t="s">
        <v>388</v>
      </c>
      <c r="K53" s="6"/>
      <c r="L53" s="6"/>
      <c r="M53" s="6" t="s">
        <v>97</v>
      </c>
      <c r="N53" s="13" t="str">
        <f aca="false">IFERROR(INDEX(Rates!$B$5:$B$84,MATCH(M53,Rates!$A$5:$A$84,0)),"")</f>
        <v>Integral waterproofing compound (powder), 1 kg per bag of cement</v>
      </c>
      <c r="O53" s="12" t="n">
        <v>6.0685</v>
      </c>
      <c r="P53" s="14" t="str">
        <f aca="false">IFERROR(INDEX(Rates!$C$5:$C$84,MATCH(M53,Rates!$A$5:$A$84,0)),"")</f>
        <v>kg</v>
      </c>
      <c r="Q53" s="15" t="n">
        <f aca="false">IFERROR(INDEX(Rates!$D$5:$D$84,MATCH(M53,Rates!$A$5:$A$84,0)),0)</f>
        <v>0</v>
      </c>
      <c r="R53" s="12" t="n">
        <f aca="false">O53*(1+Q53)</f>
        <v>6.0685</v>
      </c>
      <c r="S53" s="16" t="n">
        <f aca="false">IFERROR(INDEX(Rates!$E$5:$E$84,MATCH(M53,Rates!$A$5:$A$84,0)),0)</f>
        <v>350</v>
      </c>
      <c r="T53" s="7" t="n">
        <f aca="false">R53*S53</f>
        <v>2123.975</v>
      </c>
      <c r="U53" s="17" t="str">
        <f aca="false">IF(M53="BRK",R53/2000,IF(OR(M53="SNDC",M53="SNDM",M53="CRS",M53="KHG",M53="EARTH"),R53/100,""))</f>
        <v/>
      </c>
    </row>
    <row r="54" customFormat="false" ht="15" hidden="false" customHeight="false" outlineLevel="0" collapsed="false">
      <c r="A54" s="6" t="s">
        <v>376</v>
      </c>
      <c r="B54" s="6" t="s">
        <v>377</v>
      </c>
      <c r="C54" s="6" t="s">
        <v>384</v>
      </c>
      <c r="D54" s="9"/>
      <c r="E54" s="9"/>
      <c r="F54" s="9"/>
      <c r="G54" s="9"/>
      <c r="H54" s="12"/>
      <c r="I54" s="6"/>
      <c r="J54" s="6" t="s">
        <v>388</v>
      </c>
      <c r="K54" s="6"/>
      <c r="L54" s="6"/>
      <c r="M54" s="6" t="s">
        <v>93</v>
      </c>
      <c r="N54" s="13" t="str">
        <f aca="false">IFERROR(INDEX(Rates!$B$5:$B$84,MATCH(M54,Rates!$A$5:$A$84,0)),"")</f>
        <v>Hot bitumen 60/70 (drum)</v>
      </c>
      <c r="O54" s="12" t="n">
        <v>108.2274</v>
      </c>
      <c r="P54" s="14" t="str">
        <f aca="false">IFERROR(INDEX(Rates!$C$5:$C$84,MATCH(M54,Rates!$A$5:$A$84,0)),"")</f>
        <v>kg</v>
      </c>
      <c r="Q54" s="15" t="n">
        <f aca="false">IFERROR(INDEX(Rates!$D$5:$D$84,MATCH(M54,Rates!$A$5:$A$84,0)),0)</f>
        <v>0.05</v>
      </c>
      <c r="R54" s="12" t="n">
        <f aca="false">O54*(1+Q54)</f>
        <v>113.63877</v>
      </c>
      <c r="S54" s="16" t="n">
        <f aca="false">IFERROR(INDEX(Rates!$E$5:$E$84,MATCH(M54,Rates!$A$5:$A$84,0)),0)</f>
        <v>280</v>
      </c>
      <c r="T54" s="7" t="n">
        <f aca="false">R54*S54</f>
        <v>31818.8556</v>
      </c>
      <c r="U54" s="17" t="str">
        <f aca="false">IF(M54="BRK",R54/2000,IF(OR(M54="SNDC",M54="SNDM",M54="CRS",M54="KHG",M54="EARTH"),R54/100,""))</f>
        <v/>
      </c>
    </row>
    <row r="55" customFormat="false" ht="22.35" hidden="false" customHeight="false" outlineLevel="0" collapsed="false">
      <c r="A55" s="6" t="s">
        <v>376</v>
      </c>
      <c r="B55" s="6" t="s">
        <v>377</v>
      </c>
      <c r="C55" s="6" t="s">
        <v>389</v>
      </c>
      <c r="D55" s="9" t="s">
        <v>390</v>
      </c>
      <c r="E55" s="9" t="s">
        <v>391</v>
      </c>
      <c r="F55" s="9" t="s">
        <v>392</v>
      </c>
      <c r="G55" s="9" t="s">
        <v>393</v>
      </c>
      <c r="H55" s="12" t="n">
        <v>716.485</v>
      </c>
      <c r="I55" s="6" t="s">
        <v>394</v>
      </c>
      <c r="J55" s="6" t="s">
        <v>395</v>
      </c>
      <c r="K55" s="6"/>
      <c r="L55" s="6"/>
      <c r="M55" s="6" t="s">
        <v>37</v>
      </c>
      <c r="N55" s="13" t="str">
        <f aca="false">IFERROR(INDEX(Rates!$B$5:$B$84,MATCH(M55,Rates!$A$5:$A$84,0)),"")</f>
        <v>Cement OPC, 50 kg bag (Lucky / Bestway / Maple Leaf)</v>
      </c>
      <c r="O55" s="12" t="n">
        <v>14.8894</v>
      </c>
      <c r="P55" s="14" t="str">
        <f aca="false">IFERROR(INDEX(Rates!$C$5:$C$84,MATCH(M55,Rates!$A$5:$A$84,0)),"")</f>
        <v>bag</v>
      </c>
      <c r="Q55" s="15" t="n">
        <f aca="false">IFERROR(INDEX(Rates!$D$5:$D$84,MATCH(M55,Rates!$A$5:$A$84,0)),0)</f>
        <v>0.03</v>
      </c>
      <c r="R55" s="12" t="n">
        <f aca="false">O55*(1+Q55)</f>
        <v>15.336082</v>
      </c>
      <c r="S55" s="16" t="n">
        <f aca="false">IFERROR(INDEX(Rates!$E$5:$E$84,MATCH(M55,Rates!$A$5:$A$84,0)),0)</f>
        <v>1560</v>
      </c>
      <c r="T55" s="7" t="n">
        <f aca="false">R55*S55</f>
        <v>23924.28792</v>
      </c>
      <c r="U55" s="17" t="str">
        <f aca="false">IF(M55="BRK",R55/2000,IF(OR(M55="SNDC",M55="SNDM",M55="CRS",M55="KHG",M55="EARTH"),R55/100,""))</f>
        <v/>
      </c>
    </row>
    <row r="56" customFormat="false" ht="15" hidden="false" customHeight="false" outlineLevel="0" collapsed="false">
      <c r="A56" s="6" t="s">
        <v>376</v>
      </c>
      <c r="B56" s="6" t="s">
        <v>377</v>
      </c>
      <c r="C56" s="6" t="s">
        <v>389</v>
      </c>
      <c r="D56" s="9"/>
      <c r="E56" s="9"/>
      <c r="F56" s="9"/>
      <c r="G56" s="9"/>
      <c r="H56" s="12"/>
      <c r="I56" s="6"/>
      <c r="J56" s="6" t="s">
        <v>395</v>
      </c>
      <c r="K56" s="6"/>
      <c r="L56" s="6"/>
      <c r="M56" s="6" t="s">
        <v>76</v>
      </c>
      <c r="N56" s="13" t="str">
        <f aca="false">IFERROR(INDEX(Rates!$B$5:$B$84,MATCH(M56,Rates!$A$5:$A$84,0)),"")</f>
        <v>Ravi sand (mortar, plaster, blinding, fill)</v>
      </c>
      <c r="O56" s="12" t="n">
        <v>55.8354</v>
      </c>
      <c r="P56" s="14" t="str">
        <f aca="false">IFERROR(INDEX(Rates!$C$5:$C$84,MATCH(M56,Rates!$A$5:$A$84,0)),"")</f>
        <v>cft</v>
      </c>
      <c r="Q56" s="15" t="n">
        <f aca="false">IFERROR(INDEX(Rates!$D$5:$D$84,MATCH(M56,Rates!$A$5:$A$84,0)),0)</f>
        <v>0.08</v>
      </c>
      <c r="R56" s="12" t="n">
        <f aca="false">O56*(1+Q56)</f>
        <v>60.302232</v>
      </c>
      <c r="S56" s="16" t="n">
        <f aca="false">IFERROR(INDEX(Rates!$E$5:$E$84,MATCH(M56,Rates!$A$5:$A$84,0)),0)</f>
        <v>40</v>
      </c>
      <c r="T56" s="7" t="n">
        <f aca="false">R56*S56</f>
        <v>2412.08928</v>
      </c>
      <c r="U56" s="17" t="n">
        <f aca="false">IF(M56="BRK",R56/2000,IF(OR(M56="SNDC",M56="SNDM",M56="CRS",M56="KHG",M56="EARTH"),R56/100,""))</f>
        <v>0.60302232</v>
      </c>
    </row>
    <row r="57" customFormat="false" ht="22.35" hidden="false" customHeight="false" outlineLevel="0" collapsed="false">
      <c r="A57" s="6" t="s">
        <v>376</v>
      </c>
      <c r="B57" s="6" t="s">
        <v>377</v>
      </c>
      <c r="C57" s="6" t="s">
        <v>389</v>
      </c>
      <c r="D57" s="9"/>
      <c r="E57" s="9"/>
      <c r="F57" s="9"/>
      <c r="G57" s="9"/>
      <c r="H57" s="12"/>
      <c r="I57" s="6"/>
      <c r="J57" s="6" t="s">
        <v>395</v>
      </c>
      <c r="K57" s="6"/>
      <c r="L57" s="6"/>
      <c r="M57" s="6" t="s">
        <v>97</v>
      </c>
      <c r="N57" s="13" t="str">
        <f aca="false">IFERROR(INDEX(Rates!$B$5:$B$84,MATCH(M57,Rates!$A$5:$A$84,0)),"")</f>
        <v>Integral waterproofing compound (powder), 1 kg per bag of cement</v>
      </c>
      <c r="O57" s="12" t="n">
        <v>14.8894</v>
      </c>
      <c r="P57" s="14" t="str">
        <f aca="false">IFERROR(INDEX(Rates!$C$5:$C$84,MATCH(M57,Rates!$A$5:$A$84,0)),"")</f>
        <v>kg</v>
      </c>
      <c r="Q57" s="15" t="n">
        <f aca="false">IFERROR(INDEX(Rates!$D$5:$D$84,MATCH(M57,Rates!$A$5:$A$84,0)),0)</f>
        <v>0</v>
      </c>
      <c r="R57" s="12" t="n">
        <f aca="false">O57*(1+Q57)</f>
        <v>14.8894</v>
      </c>
      <c r="S57" s="16" t="n">
        <f aca="false">IFERROR(INDEX(Rates!$E$5:$E$84,MATCH(M57,Rates!$A$5:$A$84,0)),0)</f>
        <v>350</v>
      </c>
      <c r="T57" s="7" t="n">
        <f aca="false">R57*S57</f>
        <v>5211.29</v>
      </c>
      <c r="U57" s="17" t="str">
        <f aca="false">IF(M57="BRK",R57/2000,IF(OR(M57="SNDC",M57="SNDM",M57="CRS",M57="KHG",M57="EARTH"),R57/100,""))</f>
        <v/>
      </c>
    </row>
    <row r="58" customFormat="false" ht="15" hidden="false" customHeight="false" outlineLevel="0" collapsed="false">
      <c r="A58" s="6" t="s">
        <v>376</v>
      </c>
      <c r="B58" s="6" t="s">
        <v>377</v>
      </c>
      <c r="C58" s="6" t="s">
        <v>389</v>
      </c>
      <c r="D58" s="9"/>
      <c r="E58" s="9"/>
      <c r="F58" s="9"/>
      <c r="G58" s="9"/>
      <c r="H58" s="12"/>
      <c r="I58" s="6"/>
      <c r="J58" s="6" t="s">
        <v>395</v>
      </c>
      <c r="K58" s="6"/>
      <c r="L58" s="6"/>
      <c r="M58" s="6" t="s">
        <v>93</v>
      </c>
      <c r="N58" s="13" t="str">
        <f aca="false">IFERROR(INDEX(Rates!$B$5:$B$84,MATCH(M58,Rates!$A$5:$A$84,0)),"")</f>
        <v>Hot bitumen 60/70 (drum)</v>
      </c>
      <c r="O58" s="12" t="n">
        <v>286.5939</v>
      </c>
      <c r="P58" s="14" t="str">
        <f aca="false">IFERROR(INDEX(Rates!$C$5:$C$84,MATCH(M58,Rates!$A$5:$A$84,0)),"")</f>
        <v>kg</v>
      </c>
      <c r="Q58" s="15" t="n">
        <f aca="false">IFERROR(INDEX(Rates!$D$5:$D$84,MATCH(M58,Rates!$A$5:$A$84,0)),0)</f>
        <v>0.05</v>
      </c>
      <c r="R58" s="12" t="n">
        <f aca="false">O58*(1+Q58)</f>
        <v>300.923595</v>
      </c>
      <c r="S58" s="16" t="n">
        <f aca="false">IFERROR(INDEX(Rates!$E$5:$E$84,MATCH(M58,Rates!$A$5:$A$84,0)),0)</f>
        <v>280</v>
      </c>
      <c r="T58" s="7" t="n">
        <f aca="false">R58*S58</f>
        <v>84258.6066</v>
      </c>
      <c r="U58" s="17" t="str">
        <f aca="false">IF(M58="BRK",R58/2000,IF(OR(M58="SNDC",M58="SNDM",M58="CRS",M58="KHG",M58="EARTH"),R58/100,""))</f>
        <v/>
      </c>
    </row>
    <row r="59" customFormat="false" ht="22.35" hidden="false" customHeight="false" outlineLevel="0" collapsed="false">
      <c r="A59" s="6" t="s">
        <v>396</v>
      </c>
      <c r="B59" s="6" t="s">
        <v>397</v>
      </c>
      <c r="C59" s="6" t="s">
        <v>398</v>
      </c>
      <c r="D59" s="9" t="s">
        <v>292</v>
      </c>
      <c r="E59" s="9" t="s">
        <v>399</v>
      </c>
      <c r="F59" s="9" t="s">
        <v>400</v>
      </c>
      <c r="G59" s="9" t="s">
        <v>401</v>
      </c>
      <c r="H59" s="12" t="n">
        <v>1142.823</v>
      </c>
      <c r="I59" s="6" t="s">
        <v>71</v>
      </c>
      <c r="J59" s="6" t="s">
        <v>402</v>
      </c>
      <c r="K59" s="6"/>
      <c r="L59" s="6" t="s">
        <v>403</v>
      </c>
      <c r="M59" s="6"/>
      <c r="N59" s="13"/>
      <c r="O59" s="12"/>
      <c r="P59" s="14"/>
      <c r="Q59" s="15"/>
      <c r="R59" s="12"/>
      <c r="S59" s="16"/>
      <c r="T59" s="7" t="n">
        <v>0</v>
      </c>
      <c r="U59" s="17"/>
    </row>
    <row r="60" customFormat="false" ht="22.35" hidden="false" customHeight="false" outlineLevel="0" collapsed="false">
      <c r="A60" s="6" t="s">
        <v>396</v>
      </c>
      <c r="B60" s="6" t="s">
        <v>397</v>
      </c>
      <c r="C60" s="6" t="s">
        <v>404</v>
      </c>
      <c r="D60" s="9" t="s">
        <v>405</v>
      </c>
      <c r="E60" s="9" t="s">
        <v>406</v>
      </c>
      <c r="F60" s="9" t="s">
        <v>407</v>
      </c>
      <c r="G60" s="9" t="s">
        <v>408</v>
      </c>
      <c r="H60" s="12" t="n">
        <v>5654.79</v>
      </c>
      <c r="I60" s="6" t="s">
        <v>71</v>
      </c>
      <c r="J60" s="6" t="s">
        <v>409</v>
      </c>
      <c r="K60" s="6"/>
      <c r="L60" s="6" t="s">
        <v>410</v>
      </c>
      <c r="M60" s="6"/>
      <c r="N60" s="13"/>
      <c r="O60" s="12"/>
      <c r="P60" s="14"/>
      <c r="Q60" s="15"/>
      <c r="R60" s="12"/>
      <c r="S60" s="16"/>
      <c r="T60" s="7" t="n">
        <v>0</v>
      </c>
      <c r="U60" s="17"/>
    </row>
    <row r="61" customFormat="false" ht="22.35" hidden="false" customHeight="false" outlineLevel="0" collapsed="false">
      <c r="A61" s="6" t="s">
        <v>396</v>
      </c>
      <c r="B61" s="6" t="s">
        <v>397</v>
      </c>
      <c r="C61" s="6" t="s">
        <v>411</v>
      </c>
      <c r="D61" s="9" t="s">
        <v>412</v>
      </c>
      <c r="E61" s="9" t="s">
        <v>413</v>
      </c>
      <c r="F61" s="9" t="s">
        <v>414</v>
      </c>
      <c r="G61" s="9" t="s">
        <v>415</v>
      </c>
      <c r="H61" s="12" t="n">
        <v>724.913</v>
      </c>
      <c r="I61" s="6" t="s">
        <v>71</v>
      </c>
      <c r="J61" s="6" t="s">
        <v>416</v>
      </c>
      <c r="K61" s="6"/>
      <c r="L61" s="6" t="s">
        <v>410</v>
      </c>
      <c r="M61" s="6"/>
      <c r="N61" s="13"/>
      <c r="O61" s="12"/>
      <c r="P61" s="14"/>
      <c r="Q61" s="15"/>
      <c r="R61" s="12"/>
      <c r="S61" s="16"/>
      <c r="T61" s="7" t="n">
        <v>0</v>
      </c>
      <c r="U61" s="17"/>
    </row>
    <row r="62" customFormat="false" ht="22.35" hidden="false" customHeight="false" outlineLevel="0" collapsed="false">
      <c r="A62" s="6" t="s">
        <v>396</v>
      </c>
      <c r="B62" s="6" t="s">
        <v>397</v>
      </c>
      <c r="C62" s="6" t="s">
        <v>417</v>
      </c>
      <c r="D62" s="9" t="s">
        <v>418</v>
      </c>
      <c r="E62" s="9" t="s">
        <v>413</v>
      </c>
      <c r="F62" s="9" t="s">
        <v>419</v>
      </c>
      <c r="G62" s="9" t="s">
        <v>420</v>
      </c>
      <c r="H62" s="12" t="n">
        <v>335.38</v>
      </c>
      <c r="I62" s="6" t="s">
        <v>71</v>
      </c>
      <c r="J62" s="6" t="s">
        <v>416</v>
      </c>
      <c r="K62" s="6"/>
      <c r="L62" s="6" t="s">
        <v>410</v>
      </c>
      <c r="M62" s="6"/>
      <c r="N62" s="13"/>
      <c r="O62" s="12"/>
      <c r="P62" s="14"/>
      <c r="Q62" s="15"/>
      <c r="R62" s="12"/>
      <c r="S62" s="16"/>
      <c r="T62" s="7" t="n">
        <v>0</v>
      </c>
      <c r="U62" s="17"/>
    </row>
    <row r="63" customFormat="false" ht="22.35" hidden="false" customHeight="false" outlineLevel="0" collapsed="false">
      <c r="A63" s="6" t="s">
        <v>396</v>
      </c>
      <c r="B63" s="6" t="s">
        <v>397</v>
      </c>
      <c r="C63" s="6" t="s">
        <v>421</v>
      </c>
      <c r="D63" s="9" t="s">
        <v>319</v>
      </c>
      <c r="E63" s="9" t="s">
        <v>422</v>
      </c>
      <c r="F63" s="9" t="s">
        <v>423</v>
      </c>
      <c r="G63" s="9" t="s">
        <v>424</v>
      </c>
      <c r="H63" s="12" t="n">
        <v>665.056</v>
      </c>
      <c r="I63" s="6" t="s">
        <v>71</v>
      </c>
      <c r="J63" s="6" t="s">
        <v>425</v>
      </c>
      <c r="K63" s="6"/>
      <c r="L63" s="6"/>
      <c r="M63" s="6" t="s">
        <v>83</v>
      </c>
      <c r="N63" s="13" t="str">
        <f aca="false">IFERROR(INDEX(Rates!$B$5:$B$84,MATCH(M63,Rates!$A$5:$A$84,0)),"")</f>
        <v>Stone ballast (khangar) 1½"-2½"</v>
      </c>
      <c r="O63" s="12" t="n">
        <v>665.0558</v>
      </c>
      <c r="P63" s="14" t="str">
        <f aca="false">IFERROR(INDEX(Rates!$C$5:$C$84,MATCH(M63,Rates!$A$5:$A$84,0)),"")</f>
        <v>cft</v>
      </c>
      <c r="Q63" s="15" t="n">
        <f aca="false">IFERROR(INDEX(Rates!$D$5:$D$84,MATCH(M63,Rates!$A$5:$A$84,0)),0)</f>
        <v>0.05</v>
      </c>
      <c r="R63" s="12" t="n">
        <f aca="false">O63*(1+Q63)</f>
        <v>698.30859</v>
      </c>
      <c r="S63" s="16" t="n">
        <f aca="false">IFERROR(INDEX(Rates!$E$5:$E$84,MATCH(M63,Rates!$A$5:$A$84,0)),0)</f>
        <v>90</v>
      </c>
      <c r="T63" s="7" t="n">
        <f aca="false">R63*S63</f>
        <v>62847.7731</v>
      </c>
      <c r="U63" s="17" t="n">
        <f aca="false">IF(M63="BRK",R63/2000,IF(OR(M63="SNDC",M63="SNDM",M63="CRS",M63="KHG",M63="EARTH"),R63/100,""))</f>
        <v>6.9830859</v>
      </c>
    </row>
    <row r="64" customFormat="false" ht="22.35" hidden="false" customHeight="false" outlineLevel="0" collapsed="false">
      <c r="A64" s="6" t="s">
        <v>396</v>
      </c>
      <c r="B64" s="6" t="s">
        <v>397</v>
      </c>
      <c r="C64" s="6" t="s">
        <v>426</v>
      </c>
      <c r="D64" s="9" t="s">
        <v>319</v>
      </c>
      <c r="E64" s="9" t="s">
        <v>427</v>
      </c>
      <c r="F64" s="9" t="s">
        <v>428</v>
      </c>
      <c r="G64" s="9" t="s">
        <v>429</v>
      </c>
      <c r="H64" s="12" t="n">
        <v>188.936</v>
      </c>
      <c r="I64" s="6" t="s">
        <v>71</v>
      </c>
      <c r="J64" s="6" t="s">
        <v>425</v>
      </c>
      <c r="K64" s="6"/>
      <c r="L64" s="6"/>
      <c r="M64" s="6" t="s">
        <v>76</v>
      </c>
      <c r="N64" s="13" t="str">
        <f aca="false">IFERROR(INDEX(Rates!$B$5:$B$84,MATCH(M64,Rates!$A$5:$A$84,0)),"")</f>
        <v>Ravi sand (mortar, plaster, blinding, fill)</v>
      </c>
      <c r="O64" s="12" t="n">
        <v>188.9363</v>
      </c>
      <c r="P64" s="14" t="str">
        <f aca="false">IFERROR(INDEX(Rates!$C$5:$C$84,MATCH(M64,Rates!$A$5:$A$84,0)),"")</f>
        <v>cft</v>
      </c>
      <c r="Q64" s="15" t="n">
        <f aca="false">IFERROR(INDEX(Rates!$D$5:$D$84,MATCH(M64,Rates!$A$5:$A$84,0)),0)</f>
        <v>0.08</v>
      </c>
      <c r="R64" s="12" t="n">
        <f aca="false">O64*(1+Q64)</f>
        <v>204.051204</v>
      </c>
      <c r="S64" s="16" t="n">
        <f aca="false">IFERROR(INDEX(Rates!$E$5:$E$84,MATCH(M64,Rates!$A$5:$A$84,0)),0)</f>
        <v>40</v>
      </c>
      <c r="T64" s="7" t="n">
        <f aca="false">R64*S64</f>
        <v>8162.04816</v>
      </c>
      <c r="U64" s="17" t="n">
        <f aca="false">IF(M64="BRK",R64/2000,IF(OR(M64="SNDC",M64="SNDM",M64="CRS",M64="KHG",M64="EARTH"),R64/100,""))</f>
        <v>2.04051204</v>
      </c>
    </row>
    <row r="65" customFormat="false" ht="22.35" hidden="false" customHeight="false" outlineLevel="0" collapsed="false">
      <c r="A65" s="6" t="s">
        <v>396</v>
      </c>
      <c r="B65" s="6" t="s">
        <v>397</v>
      </c>
      <c r="C65" s="6" t="s">
        <v>430</v>
      </c>
      <c r="D65" s="9" t="s">
        <v>319</v>
      </c>
      <c r="E65" s="9" t="s">
        <v>431</v>
      </c>
      <c r="F65" s="9" t="s">
        <v>432</v>
      </c>
      <c r="G65" s="9" t="s">
        <v>433</v>
      </c>
      <c r="H65" s="12" t="n">
        <v>2185.247</v>
      </c>
      <c r="I65" s="6" t="s">
        <v>394</v>
      </c>
      <c r="J65" s="6" t="s">
        <v>434</v>
      </c>
      <c r="K65" s="6"/>
      <c r="L65" s="6"/>
      <c r="M65" s="6" t="s">
        <v>90</v>
      </c>
      <c r="N65" s="13" t="str">
        <f aca="false">IFERROR(INDEX(Rates!$B$5:$B$84,MATCH(M65,Rates!$A$5:$A$84,0)),"")</f>
        <v>Polythene sheet 0.2 mm (800 gauge)</v>
      </c>
      <c r="O65" s="12" t="n">
        <v>37.3677</v>
      </c>
      <c r="P65" s="14" t="str">
        <f aca="false">IFERROR(INDEX(Rates!$C$5:$C$84,MATCH(M65,Rates!$A$5:$A$84,0)),"")</f>
        <v>kg</v>
      </c>
      <c r="Q65" s="15" t="n">
        <f aca="false">IFERROR(INDEX(Rates!$D$5:$D$84,MATCH(M65,Rates!$A$5:$A$84,0)),0)</f>
        <v>0.05</v>
      </c>
      <c r="R65" s="12" t="n">
        <f aca="false">O65*(1+Q65)</f>
        <v>39.236085</v>
      </c>
      <c r="S65" s="16" t="n">
        <f aca="false">IFERROR(INDEX(Rates!$E$5:$E$84,MATCH(M65,Rates!$A$5:$A$84,0)),0)</f>
        <v>550</v>
      </c>
      <c r="T65" s="7" t="n">
        <f aca="false">R65*S65</f>
        <v>21579.84675</v>
      </c>
      <c r="U65" s="17" t="str">
        <f aca="false">IF(M65="BRK",R65/2000,IF(OR(M65="SNDC",M65="SNDM",M65="CRS",M65="KHG",M65="EARTH"),R65/100,""))</f>
        <v/>
      </c>
    </row>
    <row r="66" customFormat="false" ht="22.35" hidden="false" customHeight="false" outlineLevel="0" collapsed="false">
      <c r="A66" s="6" t="s">
        <v>396</v>
      </c>
      <c r="B66" s="6" t="s">
        <v>397</v>
      </c>
      <c r="C66" s="6" t="s">
        <v>435</v>
      </c>
      <c r="D66" s="9" t="s">
        <v>319</v>
      </c>
      <c r="E66" s="9" t="s">
        <v>436</v>
      </c>
      <c r="F66" s="9" t="s">
        <v>437</v>
      </c>
      <c r="G66" s="9" t="s">
        <v>438</v>
      </c>
      <c r="H66" s="12" t="n">
        <v>453.447</v>
      </c>
      <c r="I66" s="6" t="s">
        <v>71</v>
      </c>
      <c r="J66" s="6" t="s">
        <v>425</v>
      </c>
      <c r="K66" s="6"/>
      <c r="L66" s="6"/>
      <c r="M66" s="6" t="s">
        <v>37</v>
      </c>
      <c r="N66" s="13" t="str">
        <f aca="false">IFERROR(INDEX(Rates!$B$5:$B$84,MATCH(M66,Rates!$A$5:$A$84,0)),"")</f>
        <v>Cement OPC, 50 kg bag (Lucky / Bestway / Maple Leaf)</v>
      </c>
      <c r="O66" s="12" t="n">
        <v>43.81</v>
      </c>
      <c r="P66" s="14" t="str">
        <f aca="false">IFERROR(INDEX(Rates!$C$5:$C$84,MATCH(M66,Rates!$A$5:$A$84,0)),"")</f>
        <v>bag</v>
      </c>
      <c r="Q66" s="15" t="n">
        <f aca="false">IFERROR(INDEX(Rates!$D$5:$D$84,MATCH(M66,Rates!$A$5:$A$84,0)),0)</f>
        <v>0.03</v>
      </c>
      <c r="R66" s="12" t="n">
        <f aca="false">O66*(1+Q66)</f>
        <v>45.1243</v>
      </c>
      <c r="S66" s="16" t="n">
        <f aca="false">IFERROR(INDEX(Rates!$E$5:$E$84,MATCH(M66,Rates!$A$5:$A$84,0)),0)</f>
        <v>1560</v>
      </c>
      <c r="T66" s="7" t="n">
        <f aca="false">R66*S66</f>
        <v>70393.908</v>
      </c>
      <c r="U66" s="17" t="str">
        <f aca="false">IF(M66="BRK",R66/2000,IF(OR(M66="SNDC",M66="SNDM",M66="CRS",M66="KHG",M66="EARTH"),R66/100,""))</f>
        <v/>
      </c>
    </row>
    <row r="67" customFormat="false" ht="15" hidden="false" customHeight="false" outlineLevel="0" collapsed="false">
      <c r="A67" s="6" t="s">
        <v>396</v>
      </c>
      <c r="B67" s="6" t="s">
        <v>397</v>
      </c>
      <c r="C67" s="6" t="s">
        <v>435</v>
      </c>
      <c r="D67" s="9"/>
      <c r="E67" s="9"/>
      <c r="F67" s="9"/>
      <c r="G67" s="9"/>
      <c r="H67" s="12"/>
      <c r="I67" s="6"/>
      <c r="J67" s="6" t="s">
        <v>425</v>
      </c>
      <c r="K67" s="6"/>
      <c r="L67" s="6"/>
      <c r="M67" s="6" t="s">
        <v>69</v>
      </c>
      <c r="N67" s="13" t="str">
        <f aca="false">IFERROR(INDEX(Rates!$B$5:$B$84,MATCH(M67,Rates!$A$5:$A$84,0)),"")</f>
        <v>Chenab sand (concrete, screed)</v>
      </c>
      <c r="O67" s="12" t="n">
        <v>219.0498</v>
      </c>
      <c r="P67" s="14" t="str">
        <f aca="false">IFERROR(INDEX(Rates!$C$5:$C$84,MATCH(M67,Rates!$A$5:$A$84,0)),"")</f>
        <v>cft</v>
      </c>
      <c r="Q67" s="15" t="n">
        <f aca="false">IFERROR(INDEX(Rates!$D$5:$D$84,MATCH(M67,Rates!$A$5:$A$84,0)),0)</f>
        <v>0.08</v>
      </c>
      <c r="R67" s="12" t="n">
        <f aca="false">O67*(1+Q67)</f>
        <v>236.573784</v>
      </c>
      <c r="S67" s="16" t="n">
        <f aca="false">IFERROR(INDEX(Rates!$E$5:$E$84,MATCH(M67,Rates!$A$5:$A$84,0)),0)</f>
        <v>65</v>
      </c>
      <c r="T67" s="7" t="n">
        <f aca="false">R67*S67</f>
        <v>15377.29596</v>
      </c>
      <c r="U67" s="17" t="n">
        <f aca="false">IF(M67="BRK",R67/2000,IF(OR(M67="SNDC",M67="SNDM",M67="CRS",M67="KHG",M67="EARTH"),R67/100,""))</f>
        <v>2.36573784</v>
      </c>
    </row>
    <row r="68" customFormat="false" ht="15" hidden="false" customHeight="false" outlineLevel="0" collapsed="false">
      <c r="A68" s="6" t="s">
        <v>396</v>
      </c>
      <c r="B68" s="6" t="s">
        <v>397</v>
      </c>
      <c r="C68" s="6" t="s">
        <v>435</v>
      </c>
      <c r="D68" s="9"/>
      <c r="E68" s="9"/>
      <c r="F68" s="9"/>
      <c r="G68" s="9"/>
      <c r="H68" s="12"/>
      <c r="I68" s="6"/>
      <c r="J68" s="6" t="s">
        <v>425</v>
      </c>
      <c r="K68" s="6"/>
      <c r="L68" s="6"/>
      <c r="M68" s="6" t="s">
        <v>79</v>
      </c>
      <c r="N68" s="13" t="str">
        <f aca="false">IFERROR(INDEX(Rates!$B$5:$B$84,MATCH(M68,Rates!$A$5:$A$84,0)),"")</f>
        <v>Crush ¾" down, Sargodha (bajri)</v>
      </c>
      <c r="O68" s="12" t="n">
        <v>438.0997</v>
      </c>
      <c r="P68" s="14" t="str">
        <f aca="false">IFERROR(INDEX(Rates!$C$5:$C$84,MATCH(M68,Rates!$A$5:$A$84,0)),"")</f>
        <v>cft</v>
      </c>
      <c r="Q68" s="15" t="n">
        <f aca="false">IFERROR(INDEX(Rates!$D$5:$D$84,MATCH(M68,Rates!$A$5:$A$84,0)),0)</f>
        <v>0.05</v>
      </c>
      <c r="R68" s="12" t="n">
        <f aca="false">O68*(1+Q68)</f>
        <v>460.004685</v>
      </c>
      <c r="S68" s="16" t="n">
        <f aca="false">IFERROR(INDEX(Rates!$E$5:$E$84,MATCH(M68,Rates!$A$5:$A$84,0)),0)</f>
        <v>110</v>
      </c>
      <c r="T68" s="7" t="n">
        <f aca="false">R68*S68</f>
        <v>50600.51535</v>
      </c>
      <c r="U68" s="17" t="n">
        <f aca="false">IF(M68="BRK",R68/2000,IF(OR(M68="SNDC",M68="SNDM",M68="CRS",M68="KHG",M68="EARTH"),R68/100,""))</f>
        <v>4.60004685</v>
      </c>
    </row>
    <row r="69" customFormat="false" ht="32.8" hidden="false" customHeight="false" outlineLevel="0" collapsed="false">
      <c r="A69" s="6" t="s">
        <v>396</v>
      </c>
      <c r="B69" s="6" t="s">
        <v>397</v>
      </c>
      <c r="C69" s="6" t="s">
        <v>439</v>
      </c>
      <c r="D69" s="9" t="s">
        <v>440</v>
      </c>
      <c r="E69" s="9" t="s">
        <v>441</v>
      </c>
      <c r="F69" s="9" t="s">
        <v>442</v>
      </c>
      <c r="G69" s="9" t="s">
        <v>443</v>
      </c>
      <c r="H69" s="12" t="n">
        <f aca="false">O69</f>
        <v>4184.79925</v>
      </c>
      <c r="I69" s="6" t="s">
        <v>71</v>
      </c>
      <c r="J69" s="6" t="s">
        <v>444</v>
      </c>
      <c r="K69" s="6"/>
      <c r="L69" s="6"/>
      <c r="M69" s="6" t="s">
        <v>86</v>
      </c>
      <c r="N69" s="13" t="str">
        <f aca="false">IFERROR(INDEX(Rates!$B$5:$B$84,MATCH(M69,Rates!$A$5:$A$84,0)),"")</f>
        <v>Earth (mitti) for filling, delivered</v>
      </c>
      <c r="O69" s="12" t="n">
        <f aca="false">MAX(0,SUMIF($L$5:$L$2000,"EFILL",$H$5:$H$2000)-(SUMIF($L$5:$L$2000,"EXC",$H$5:$H$2000)-SUMIF($L$5:$L$2000,"BACKFILL",$H$5:$H$2000))*1.25)</f>
        <v>4184.79925</v>
      </c>
      <c r="P69" s="14" t="str">
        <f aca="false">IFERROR(INDEX(Rates!$C$5:$C$84,MATCH(M69,Rates!$A$5:$A$84,0)),"")</f>
        <v>cft</v>
      </c>
      <c r="Q69" s="15" t="n">
        <f aca="false">IFERROR(INDEX(Rates!$D$5:$D$84,MATCH(M69,Rates!$A$5:$A$84,0)),0)</f>
        <v>0</v>
      </c>
      <c r="R69" s="12" t="n">
        <f aca="false">O69*(1+Q69)</f>
        <v>4184.79925</v>
      </c>
      <c r="S69" s="16" t="n">
        <f aca="false">IFERROR(INDEX(Rates!$E$5:$E$84,MATCH(M69,Rates!$A$5:$A$84,0)),0)</f>
        <v>25</v>
      </c>
      <c r="T69" s="7" t="n">
        <f aca="false">R69*S69</f>
        <v>104619.98125</v>
      </c>
      <c r="U69" s="17" t="n">
        <f aca="false">IF(M69="BRK",R69/2000,IF(OR(M69="SNDC",M69="SNDM",M69="CRS",M69="KHG",M69="EARTH"),R69/100,""))</f>
        <v>41.8479925</v>
      </c>
    </row>
    <row r="70" customFormat="false" ht="22.35" hidden="false" customHeight="false" outlineLevel="0" collapsed="false">
      <c r="A70" s="6" t="s">
        <v>445</v>
      </c>
      <c r="B70" s="6" t="s">
        <v>446</v>
      </c>
      <c r="C70" s="6" t="s">
        <v>447</v>
      </c>
      <c r="D70" s="9" t="s">
        <v>448</v>
      </c>
      <c r="E70" s="9" t="s">
        <v>449</v>
      </c>
      <c r="F70" s="9" t="s">
        <v>450</v>
      </c>
      <c r="G70" s="9" t="s">
        <v>451</v>
      </c>
      <c r="H70" s="12" t="n">
        <v>1649.649</v>
      </c>
      <c r="I70" s="6" t="s">
        <v>71</v>
      </c>
      <c r="J70" s="6" t="s">
        <v>452</v>
      </c>
      <c r="K70" s="6"/>
      <c r="L70" s="6"/>
      <c r="M70" s="6" t="s">
        <v>37</v>
      </c>
      <c r="N70" s="13" t="str">
        <f aca="false">IFERROR(INDEX(Rates!$B$5:$B$84,MATCH(M70,Rates!$A$5:$A$84,0)),"")</f>
        <v>Cement OPC, 50 kg bag (Lucky / Bestway / Maple Leaf)</v>
      </c>
      <c r="O70" s="12" t="n">
        <v>75.224</v>
      </c>
      <c r="P70" s="14" t="str">
        <f aca="false">IFERROR(INDEX(Rates!$C$5:$C$84,MATCH(M70,Rates!$A$5:$A$84,0)),"")</f>
        <v>bag</v>
      </c>
      <c r="Q70" s="15" t="n">
        <f aca="false">IFERROR(INDEX(Rates!$D$5:$D$84,MATCH(M70,Rates!$A$5:$A$84,0)),0)</f>
        <v>0.03</v>
      </c>
      <c r="R70" s="12" t="n">
        <f aca="false">O70*(1+Q70)</f>
        <v>77.48072</v>
      </c>
      <c r="S70" s="16" t="n">
        <f aca="false">IFERROR(INDEX(Rates!$E$5:$E$84,MATCH(M70,Rates!$A$5:$A$84,0)),0)</f>
        <v>1560</v>
      </c>
      <c r="T70" s="7" t="n">
        <f aca="false">R70*S70</f>
        <v>120869.9232</v>
      </c>
      <c r="U70" s="17" t="str">
        <f aca="false">IF(M70="BRK",R70/2000,IF(OR(M70="SNDC",M70="SNDM",M70="CRS",M70="KHG",M70="EARTH"),R70/100,""))</f>
        <v/>
      </c>
    </row>
    <row r="71" customFormat="false" ht="15" hidden="false" customHeight="false" outlineLevel="0" collapsed="false">
      <c r="A71" s="6" t="s">
        <v>445</v>
      </c>
      <c r="B71" s="6" t="s">
        <v>446</v>
      </c>
      <c r="C71" s="6" t="s">
        <v>447</v>
      </c>
      <c r="D71" s="9"/>
      <c r="E71" s="9"/>
      <c r="F71" s="9"/>
      <c r="G71" s="9"/>
      <c r="H71" s="12"/>
      <c r="I71" s="6"/>
      <c r="J71" s="6" t="s">
        <v>452</v>
      </c>
      <c r="K71" s="6"/>
      <c r="L71" s="6"/>
      <c r="M71" s="6" t="s">
        <v>76</v>
      </c>
      <c r="N71" s="13" t="str">
        <f aca="false">IFERROR(INDEX(Rates!$B$5:$B$84,MATCH(M71,Rates!$A$5:$A$84,0)),"")</f>
        <v>Ravi sand (mortar, plaster, blinding, fill)</v>
      </c>
      <c r="O71" s="12" t="n">
        <v>564.1799</v>
      </c>
      <c r="P71" s="14" t="str">
        <f aca="false">IFERROR(INDEX(Rates!$C$5:$C$84,MATCH(M71,Rates!$A$5:$A$84,0)),"")</f>
        <v>cft</v>
      </c>
      <c r="Q71" s="15" t="n">
        <f aca="false">IFERROR(INDEX(Rates!$D$5:$D$84,MATCH(M71,Rates!$A$5:$A$84,0)),0)</f>
        <v>0.08</v>
      </c>
      <c r="R71" s="12" t="n">
        <f aca="false">O71*(1+Q71)</f>
        <v>609.314292</v>
      </c>
      <c r="S71" s="16" t="n">
        <f aca="false">IFERROR(INDEX(Rates!$E$5:$E$84,MATCH(M71,Rates!$A$5:$A$84,0)),0)</f>
        <v>40</v>
      </c>
      <c r="T71" s="7" t="n">
        <f aca="false">R71*S71</f>
        <v>24372.57168</v>
      </c>
      <c r="U71" s="17" t="n">
        <f aca="false">IF(M71="BRK",R71/2000,IF(OR(M71="SNDC",M71="SNDM",M71="CRS",M71="KHG",M71="EARTH"),R71/100,""))</f>
        <v>6.09314292</v>
      </c>
    </row>
    <row r="72" customFormat="false" ht="15" hidden="false" customHeight="false" outlineLevel="0" collapsed="false">
      <c r="A72" s="6" t="s">
        <v>445</v>
      </c>
      <c r="B72" s="6" t="s">
        <v>446</v>
      </c>
      <c r="C72" s="6" t="s">
        <v>447</v>
      </c>
      <c r="D72" s="9"/>
      <c r="E72" s="9"/>
      <c r="F72" s="9"/>
      <c r="G72" s="9"/>
      <c r="H72" s="12"/>
      <c r="I72" s="6"/>
      <c r="J72" s="6" t="s">
        <v>452</v>
      </c>
      <c r="K72" s="6"/>
      <c r="L72" s="6"/>
      <c r="M72" s="6" t="s">
        <v>43</v>
      </c>
      <c r="N72" s="13" t="str">
        <f aca="false">IFERROR(INDEX(Rates!$B$5:$B$84,MATCH(M72,Rates!$A$5:$A$84,0)),"")</f>
        <v>Bricks, first class (awwal), 9" x 4½" x 3"</v>
      </c>
      <c r="O72" s="12" t="n">
        <v>22270.2607</v>
      </c>
      <c r="P72" s="14" t="str">
        <f aca="false">IFERROR(INDEX(Rates!$C$5:$C$84,MATCH(M72,Rates!$A$5:$A$84,0)),"")</f>
        <v>nos</v>
      </c>
      <c r="Q72" s="15" t="n">
        <f aca="false">IFERROR(INDEX(Rates!$D$5:$D$84,MATCH(M72,Rates!$A$5:$A$84,0)),0)</f>
        <v>0.05</v>
      </c>
      <c r="R72" s="12" t="n">
        <f aca="false">O72*(1+Q72)</f>
        <v>23383.773735</v>
      </c>
      <c r="S72" s="16" t="n">
        <f aca="false">IFERROR(INDEX(Rates!$E$5:$E$84,MATCH(M72,Rates!$A$5:$A$84,0)),0)</f>
        <v>16</v>
      </c>
      <c r="T72" s="7" t="n">
        <f aca="false">R72*S72</f>
        <v>374140.37976</v>
      </c>
      <c r="U72" s="17" t="n">
        <f aca="false">IF(M72="BRK",R72/2000,IF(OR(M72="SNDC",M72="SNDM",M72="CRS",M72="KHG",M72="EARTH"),R72/100,""))</f>
        <v>11.6918868675</v>
      </c>
    </row>
    <row r="73" customFormat="false" ht="22.35" hidden="false" customHeight="false" outlineLevel="0" collapsed="false">
      <c r="A73" s="6" t="s">
        <v>445</v>
      </c>
      <c r="B73" s="6" t="s">
        <v>446</v>
      </c>
      <c r="C73" s="6" t="s">
        <v>453</v>
      </c>
      <c r="D73" s="9" t="s">
        <v>448</v>
      </c>
      <c r="E73" s="9" t="s">
        <v>454</v>
      </c>
      <c r="F73" s="9" t="s">
        <v>455</v>
      </c>
      <c r="G73" s="9" t="s">
        <v>456</v>
      </c>
      <c r="H73" s="12" t="n">
        <v>364.896</v>
      </c>
      <c r="I73" s="6" t="s">
        <v>71</v>
      </c>
      <c r="J73" s="6" t="s">
        <v>452</v>
      </c>
      <c r="K73" s="6"/>
      <c r="L73" s="6"/>
      <c r="M73" s="6" t="s">
        <v>37</v>
      </c>
      <c r="N73" s="13" t="str">
        <f aca="false">IFERROR(INDEX(Rates!$B$5:$B$84,MATCH(M73,Rates!$A$5:$A$84,0)),"")</f>
        <v>Cement OPC, 50 kg bag (Lucky / Bestway / Maple Leaf)</v>
      </c>
      <c r="O73" s="12" t="n">
        <v>23.295</v>
      </c>
      <c r="P73" s="14" t="str">
        <f aca="false">IFERROR(INDEX(Rates!$C$5:$C$84,MATCH(M73,Rates!$A$5:$A$84,0)),"")</f>
        <v>bag</v>
      </c>
      <c r="Q73" s="15" t="n">
        <f aca="false">IFERROR(INDEX(Rates!$D$5:$D$84,MATCH(M73,Rates!$A$5:$A$84,0)),0)</f>
        <v>0.03</v>
      </c>
      <c r="R73" s="12" t="n">
        <f aca="false">O73*(1+Q73)</f>
        <v>23.99385</v>
      </c>
      <c r="S73" s="16" t="n">
        <f aca="false">IFERROR(INDEX(Rates!$E$5:$E$84,MATCH(M73,Rates!$A$5:$A$84,0)),0)</f>
        <v>1560</v>
      </c>
      <c r="T73" s="7" t="n">
        <f aca="false">R73*S73</f>
        <v>37430.406</v>
      </c>
      <c r="U73" s="17" t="str">
        <f aca="false">IF(M73="BRK",R73/2000,IF(OR(M73="SNDC",M73="SNDM",M73="CRS",M73="KHG",M73="EARTH"),R73/100,""))</f>
        <v/>
      </c>
    </row>
    <row r="74" customFormat="false" ht="15" hidden="false" customHeight="false" outlineLevel="0" collapsed="false">
      <c r="A74" s="6" t="s">
        <v>445</v>
      </c>
      <c r="B74" s="6" t="s">
        <v>446</v>
      </c>
      <c r="C74" s="6" t="s">
        <v>453</v>
      </c>
      <c r="D74" s="9"/>
      <c r="E74" s="9"/>
      <c r="F74" s="9"/>
      <c r="G74" s="9"/>
      <c r="H74" s="12"/>
      <c r="I74" s="6"/>
      <c r="J74" s="6" t="s">
        <v>452</v>
      </c>
      <c r="K74" s="6"/>
      <c r="L74" s="6"/>
      <c r="M74" s="6" t="s">
        <v>76</v>
      </c>
      <c r="N74" s="13" t="str">
        <f aca="false">IFERROR(INDEX(Rates!$B$5:$B$84,MATCH(M74,Rates!$A$5:$A$84,0)),"")</f>
        <v>Ravi sand (mortar, plaster, blinding, fill)</v>
      </c>
      <c r="O74" s="12" t="n">
        <v>116.475</v>
      </c>
      <c r="P74" s="14" t="str">
        <f aca="false">IFERROR(INDEX(Rates!$C$5:$C$84,MATCH(M74,Rates!$A$5:$A$84,0)),"")</f>
        <v>cft</v>
      </c>
      <c r="Q74" s="15" t="n">
        <f aca="false">IFERROR(INDEX(Rates!$D$5:$D$84,MATCH(M74,Rates!$A$5:$A$84,0)),0)</f>
        <v>0.08</v>
      </c>
      <c r="R74" s="12" t="n">
        <f aca="false">O74*(1+Q74)</f>
        <v>125.793</v>
      </c>
      <c r="S74" s="16" t="n">
        <f aca="false">IFERROR(INDEX(Rates!$E$5:$E$84,MATCH(M74,Rates!$A$5:$A$84,0)),0)</f>
        <v>40</v>
      </c>
      <c r="T74" s="7" t="n">
        <f aca="false">R74*S74</f>
        <v>5031.72</v>
      </c>
      <c r="U74" s="17" t="n">
        <f aca="false">IF(M74="BRK",R74/2000,IF(OR(M74="SNDC",M74="SNDM",M74="CRS",M74="KHG",M74="EARTH"),R74/100,""))</f>
        <v>1.25793</v>
      </c>
    </row>
    <row r="75" customFormat="false" ht="15" hidden="false" customHeight="false" outlineLevel="0" collapsed="false">
      <c r="A75" s="6" t="s">
        <v>445</v>
      </c>
      <c r="B75" s="6" t="s">
        <v>446</v>
      </c>
      <c r="C75" s="6" t="s">
        <v>453</v>
      </c>
      <c r="D75" s="9"/>
      <c r="E75" s="9"/>
      <c r="F75" s="9"/>
      <c r="G75" s="9"/>
      <c r="H75" s="12"/>
      <c r="I75" s="6"/>
      <c r="J75" s="6" t="s">
        <v>452</v>
      </c>
      <c r="K75" s="6"/>
      <c r="L75" s="6"/>
      <c r="M75" s="6" t="s">
        <v>43</v>
      </c>
      <c r="N75" s="13" t="str">
        <f aca="false">IFERROR(INDEX(Rates!$B$5:$B$84,MATCH(M75,Rates!$A$5:$A$84,0)),"")</f>
        <v>Bricks, first class (awwal), 9" x 4½" x 3"</v>
      </c>
      <c r="O75" s="12" t="n">
        <v>4926.1023</v>
      </c>
      <c r="P75" s="14" t="str">
        <f aca="false">IFERROR(INDEX(Rates!$C$5:$C$84,MATCH(M75,Rates!$A$5:$A$84,0)),"")</f>
        <v>nos</v>
      </c>
      <c r="Q75" s="15" t="n">
        <f aca="false">IFERROR(INDEX(Rates!$D$5:$D$84,MATCH(M75,Rates!$A$5:$A$84,0)),0)</f>
        <v>0.05</v>
      </c>
      <c r="R75" s="12" t="n">
        <f aca="false">O75*(1+Q75)</f>
        <v>5172.407415</v>
      </c>
      <c r="S75" s="16" t="n">
        <f aca="false">IFERROR(INDEX(Rates!$E$5:$E$84,MATCH(M75,Rates!$A$5:$A$84,0)),0)</f>
        <v>16</v>
      </c>
      <c r="T75" s="7" t="n">
        <f aca="false">R75*S75</f>
        <v>82758.51864</v>
      </c>
      <c r="U75" s="17" t="n">
        <f aca="false">IF(M75="BRK",R75/2000,IF(OR(M75="SNDC",M75="SNDM",M75="CRS",M75="KHG",M75="EARTH"),R75/100,""))</f>
        <v>2.5862037075</v>
      </c>
    </row>
    <row r="76" customFormat="false" ht="22.35" hidden="false" customHeight="false" outlineLevel="0" collapsed="false">
      <c r="A76" s="6" t="s">
        <v>445</v>
      </c>
      <c r="B76" s="6" t="s">
        <v>446</v>
      </c>
      <c r="C76" s="6" t="s">
        <v>457</v>
      </c>
      <c r="D76" s="9" t="s">
        <v>458</v>
      </c>
      <c r="E76" s="9" t="s">
        <v>459</v>
      </c>
      <c r="F76" s="9" t="s">
        <v>460</v>
      </c>
      <c r="G76" s="9" t="s">
        <v>461</v>
      </c>
      <c r="H76" s="12" t="n">
        <v>1582.612</v>
      </c>
      <c r="I76" s="6" t="s">
        <v>71</v>
      </c>
      <c r="J76" s="6" t="s">
        <v>452</v>
      </c>
      <c r="K76" s="6"/>
      <c r="L76" s="6"/>
      <c r="M76" s="6" t="s">
        <v>37</v>
      </c>
      <c r="N76" s="13" t="str">
        <f aca="false">IFERROR(INDEX(Rates!$B$5:$B$84,MATCH(M76,Rates!$A$5:$A$84,0)),"")</f>
        <v>Cement OPC, 50 kg bag (Lucky / Bestway / Maple Leaf)</v>
      </c>
      <c r="O76" s="12" t="n">
        <v>72.1671</v>
      </c>
      <c r="P76" s="14" t="str">
        <f aca="false">IFERROR(INDEX(Rates!$C$5:$C$84,MATCH(M76,Rates!$A$5:$A$84,0)),"")</f>
        <v>bag</v>
      </c>
      <c r="Q76" s="15" t="n">
        <f aca="false">IFERROR(INDEX(Rates!$D$5:$D$84,MATCH(M76,Rates!$A$5:$A$84,0)),0)</f>
        <v>0.03</v>
      </c>
      <c r="R76" s="12" t="n">
        <f aca="false">O76*(1+Q76)</f>
        <v>74.332113</v>
      </c>
      <c r="S76" s="16" t="n">
        <f aca="false">IFERROR(INDEX(Rates!$E$5:$E$84,MATCH(M76,Rates!$A$5:$A$84,0)),0)</f>
        <v>1560</v>
      </c>
      <c r="T76" s="7" t="n">
        <f aca="false">R76*S76</f>
        <v>115958.09628</v>
      </c>
      <c r="U76" s="17" t="str">
        <f aca="false">IF(M76="BRK",R76/2000,IF(OR(M76="SNDC",M76="SNDM",M76="CRS",M76="KHG",M76="EARTH"),R76/100,""))</f>
        <v/>
      </c>
    </row>
    <row r="77" customFormat="false" ht="15" hidden="false" customHeight="false" outlineLevel="0" collapsed="false">
      <c r="A77" s="6" t="s">
        <v>445</v>
      </c>
      <c r="B77" s="6" t="s">
        <v>446</v>
      </c>
      <c r="C77" s="6" t="s">
        <v>457</v>
      </c>
      <c r="D77" s="9"/>
      <c r="E77" s="9"/>
      <c r="F77" s="9"/>
      <c r="G77" s="9"/>
      <c r="H77" s="12"/>
      <c r="I77" s="6"/>
      <c r="J77" s="6" t="s">
        <v>452</v>
      </c>
      <c r="K77" s="6"/>
      <c r="L77" s="6"/>
      <c r="M77" s="6" t="s">
        <v>76</v>
      </c>
      <c r="N77" s="13" t="str">
        <f aca="false">IFERROR(INDEX(Rates!$B$5:$B$84,MATCH(M77,Rates!$A$5:$A$84,0)),"")</f>
        <v>Ravi sand (mortar, plaster, blinding, fill)</v>
      </c>
      <c r="O77" s="12" t="n">
        <v>541.2532</v>
      </c>
      <c r="P77" s="14" t="str">
        <f aca="false">IFERROR(INDEX(Rates!$C$5:$C$84,MATCH(M77,Rates!$A$5:$A$84,0)),"")</f>
        <v>cft</v>
      </c>
      <c r="Q77" s="15" t="n">
        <f aca="false">IFERROR(INDEX(Rates!$D$5:$D$84,MATCH(M77,Rates!$A$5:$A$84,0)),0)</f>
        <v>0.08</v>
      </c>
      <c r="R77" s="12" t="n">
        <f aca="false">O77*(1+Q77)</f>
        <v>584.553456</v>
      </c>
      <c r="S77" s="16" t="n">
        <f aca="false">IFERROR(INDEX(Rates!$E$5:$E$84,MATCH(M77,Rates!$A$5:$A$84,0)),0)</f>
        <v>40</v>
      </c>
      <c r="T77" s="7" t="n">
        <f aca="false">R77*S77</f>
        <v>23382.13824</v>
      </c>
      <c r="U77" s="17" t="n">
        <f aca="false">IF(M77="BRK",R77/2000,IF(OR(M77="SNDC",M77="SNDM",M77="CRS",M77="KHG",M77="EARTH"),R77/100,""))</f>
        <v>5.84553456</v>
      </c>
    </row>
    <row r="78" customFormat="false" ht="15" hidden="false" customHeight="false" outlineLevel="0" collapsed="false">
      <c r="A78" s="6" t="s">
        <v>445</v>
      </c>
      <c r="B78" s="6" t="s">
        <v>446</v>
      </c>
      <c r="C78" s="6" t="s">
        <v>457</v>
      </c>
      <c r="D78" s="9"/>
      <c r="E78" s="9"/>
      <c r="F78" s="9"/>
      <c r="G78" s="9"/>
      <c r="H78" s="12"/>
      <c r="I78" s="6"/>
      <c r="J78" s="6" t="s">
        <v>452</v>
      </c>
      <c r="K78" s="6"/>
      <c r="L78" s="6"/>
      <c r="M78" s="6" t="s">
        <v>43</v>
      </c>
      <c r="N78" s="13" t="str">
        <f aca="false">IFERROR(INDEX(Rates!$B$5:$B$84,MATCH(M78,Rates!$A$5:$A$84,0)),"")</f>
        <v>Bricks, first class (awwal), 9" x 4½" x 3"</v>
      </c>
      <c r="O78" s="12" t="n">
        <v>21365.2596</v>
      </c>
      <c r="P78" s="14" t="str">
        <f aca="false">IFERROR(INDEX(Rates!$C$5:$C$84,MATCH(M78,Rates!$A$5:$A$84,0)),"")</f>
        <v>nos</v>
      </c>
      <c r="Q78" s="15" t="n">
        <f aca="false">IFERROR(INDEX(Rates!$D$5:$D$84,MATCH(M78,Rates!$A$5:$A$84,0)),0)</f>
        <v>0.05</v>
      </c>
      <c r="R78" s="12" t="n">
        <f aca="false">O78*(1+Q78)</f>
        <v>22433.52258</v>
      </c>
      <c r="S78" s="16" t="n">
        <f aca="false">IFERROR(INDEX(Rates!$E$5:$E$84,MATCH(M78,Rates!$A$5:$A$84,0)),0)</f>
        <v>16</v>
      </c>
      <c r="T78" s="7" t="n">
        <f aca="false">R78*S78</f>
        <v>358936.36128</v>
      </c>
      <c r="U78" s="17" t="n">
        <f aca="false">IF(M78="BRK",R78/2000,IF(OR(M78="SNDC",M78="SNDM",M78="CRS",M78="KHG",M78="EARTH"),R78/100,""))</f>
        <v>11.21676129</v>
      </c>
    </row>
    <row r="79" customFormat="false" ht="22.35" hidden="false" customHeight="false" outlineLevel="0" collapsed="false">
      <c r="A79" s="6" t="s">
        <v>445</v>
      </c>
      <c r="B79" s="6" t="s">
        <v>446</v>
      </c>
      <c r="C79" s="6" t="s">
        <v>462</v>
      </c>
      <c r="D79" s="9" t="s">
        <v>458</v>
      </c>
      <c r="E79" s="9" t="s">
        <v>463</v>
      </c>
      <c r="F79" s="9" t="s">
        <v>464</v>
      </c>
      <c r="G79" s="9" t="s">
        <v>465</v>
      </c>
      <c r="H79" s="12" t="n">
        <v>632.76</v>
      </c>
      <c r="I79" s="6" t="s">
        <v>71</v>
      </c>
      <c r="J79" s="6" t="s">
        <v>452</v>
      </c>
      <c r="K79" s="6"/>
      <c r="L79" s="6"/>
      <c r="M79" s="6" t="s">
        <v>37</v>
      </c>
      <c r="N79" s="13" t="str">
        <f aca="false">IFERROR(INDEX(Rates!$B$5:$B$84,MATCH(M79,Rates!$A$5:$A$84,0)),"")</f>
        <v>Cement OPC, 50 kg bag (Lucky / Bestway / Maple Leaf)</v>
      </c>
      <c r="O79" s="12" t="n">
        <v>40.3954</v>
      </c>
      <c r="P79" s="14" t="str">
        <f aca="false">IFERROR(INDEX(Rates!$C$5:$C$84,MATCH(M79,Rates!$A$5:$A$84,0)),"")</f>
        <v>bag</v>
      </c>
      <c r="Q79" s="15" t="n">
        <f aca="false">IFERROR(INDEX(Rates!$D$5:$D$84,MATCH(M79,Rates!$A$5:$A$84,0)),0)</f>
        <v>0.03</v>
      </c>
      <c r="R79" s="12" t="n">
        <f aca="false">O79*(1+Q79)</f>
        <v>41.607262</v>
      </c>
      <c r="S79" s="16" t="n">
        <f aca="false">IFERROR(INDEX(Rates!$E$5:$E$84,MATCH(M79,Rates!$A$5:$A$84,0)),0)</f>
        <v>1560</v>
      </c>
      <c r="T79" s="7" t="n">
        <f aca="false">R79*S79</f>
        <v>64907.32872</v>
      </c>
      <c r="U79" s="17" t="str">
        <f aca="false">IF(M79="BRK",R79/2000,IF(OR(M79="SNDC",M79="SNDM",M79="CRS",M79="KHG",M79="EARTH"),R79/100,""))</f>
        <v/>
      </c>
    </row>
    <row r="80" customFormat="false" ht="15" hidden="false" customHeight="false" outlineLevel="0" collapsed="false">
      <c r="A80" s="6" t="s">
        <v>445</v>
      </c>
      <c r="B80" s="6" t="s">
        <v>446</v>
      </c>
      <c r="C80" s="6" t="s">
        <v>462</v>
      </c>
      <c r="D80" s="9"/>
      <c r="E80" s="9"/>
      <c r="F80" s="9"/>
      <c r="G80" s="9"/>
      <c r="H80" s="12"/>
      <c r="I80" s="6"/>
      <c r="J80" s="6" t="s">
        <v>452</v>
      </c>
      <c r="K80" s="6"/>
      <c r="L80" s="6"/>
      <c r="M80" s="6" t="s">
        <v>76</v>
      </c>
      <c r="N80" s="13" t="str">
        <f aca="false">IFERROR(INDEX(Rates!$B$5:$B$84,MATCH(M80,Rates!$A$5:$A$84,0)),"")</f>
        <v>Ravi sand (mortar, plaster, blinding, fill)</v>
      </c>
      <c r="O80" s="12" t="n">
        <v>201.977</v>
      </c>
      <c r="P80" s="14" t="str">
        <f aca="false">IFERROR(INDEX(Rates!$C$5:$C$84,MATCH(M80,Rates!$A$5:$A$84,0)),"")</f>
        <v>cft</v>
      </c>
      <c r="Q80" s="15" t="n">
        <f aca="false">IFERROR(INDEX(Rates!$D$5:$D$84,MATCH(M80,Rates!$A$5:$A$84,0)),0)</f>
        <v>0.08</v>
      </c>
      <c r="R80" s="12" t="n">
        <f aca="false">O80*(1+Q80)</f>
        <v>218.13516</v>
      </c>
      <c r="S80" s="16" t="n">
        <f aca="false">IFERROR(INDEX(Rates!$E$5:$E$84,MATCH(M80,Rates!$A$5:$A$84,0)),0)</f>
        <v>40</v>
      </c>
      <c r="T80" s="7" t="n">
        <f aca="false">R80*S80</f>
        <v>8725.4064</v>
      </c>
      <c r="U80" s="17" t="n">
        <f aca="false">IF(M80="BRK",R80/2000,IF(OR(M80="SNDC",M80="SNDM",M80="CRS",M80="KHG",M80="EARTH"),R80/100,""))</f>
        <v>2.1813516</v>
      </c>
    </row>
    <row r="81" customFormat="false" ht="15" hidden="false" customHeight="false" outlineLevel="0" collapsed="false">
      <c r="A81" s="6" t="s">
        <v>445</v>
      </c>
      <c r="B81" s="6" t="s">
        <v>446</v>
      </c>
      <c r="C81" s="6" t="s">
        <v>462</v>
      </c>
      <c r="D81" s="9"/>
      <c r="E81" s="9"/>
      <c r="F81" s="9"/>
      <c r="G81" s="9"/>
      <c r="H81" s="12"/>
      <c r="I81" s="6"/>
      <c r="J81" s="6" t="s">
        <v>452</v>
      </c>
      <c r="K81" s="6"/>
      <c r="L81" s="6"/>
      <c r="M81" s="6" t="s">
        <v>43</v>
      </c>
      <c r="N81" s="13" t="str">
        <f aca="false">IFERROR(INDEX(Rates!$B$5:$B$84,MATCH(M81,Rates!$A$5:$A$84,0)),"")</f>
        <v>Bricks, first class (awwal), 9" x 4½" x 3"</v>
      </c>
      <c r="O81" s="12" t="n">
        <v>8542.2582</v>
      </c>
      <c r="P81" s="14" t="str">
        <f aca="false">IFERROR(INDEX(Rates!$C$5:$C$84,MATCH(M81,Rates!$A$5:$A$84,0)),"")</f>
        <v>nos</v>
      </c>
      <c r="Q81" s="15" t="n">
        <f aca="false">IFERROR(INDEX(Rates!$D$5:$D$84,MATCH(M81,Rates!$A$5:$A$84,0)),0)</f>
        <v>0.05</v>
      </c>
      <c r="R81" s="12" t="n">
        <f aca="false">O81*(1+Q81)</f>
        <v>8969.37111</v>
      </c>
      <c r="S81" s="16" t="n">
        <f aca="false">IFERROR(INDEX(Rates!$E$5:$E$84,MATCH(M81,Rates!$A$5:$A$84,0)),0)</f>
        <v>16</v>
      </c>
      <c r="T81" s="7" t="n">
        <f aca="false">R81*S81</f>
        <v>143509.93776</v>
      </c>
      <c r="U81" s="17" t="n">
        <f aca="false">IF(M81="BRK",R81/2000,IF(OR(M81="SNDC",M81="SNDM",M81="CRS",M81="KHG",M81="EARTH"),R81/100,""))</f>
        <v>4.484685555</v>
      </c>
    </row>
    <row r="82" customFormat="false" ht="22.35" hidden="false" customHeight="false" outlineLevel="0" collapsed="false">
      <c r="A82" s="6" t="s">
        <v>445</v>
      </c>
      <c r="B82" s="6" t="s">
        <v>446</v>
      </c>
      <c r="C82" s="6" t="s">
        <v>466</v>
      </c>
      <c r="D82" s="9" t="s">
        <v>467</v>
      </c>
      <c r="E82" s="9" t="s">
        <v>468</v>
      </c>
      <c r="F82" s="9" t="s">
        <v>469</v>
      </c>
      <c r="G82" s="9" t="s">
        <v>470</v>
      </c>
      <c r="H82" s="12" t="n">
        <v>353.692</v>
      </c>
      <c r="I82" s="6" t="s">
        <v>71</v>
      </c>
      <c r="J82" s="6" t="s">
        <v>452</v>
      </c>
      <c r="K82" s="6"/>
      <c r="L82" s="6"/>
      <c r="M82" s="6" t="s">
        <v>37</v>
      </c>
      <c r="N82" s="13" t="str">
        <f aca="false">IFERROR(INDEX(Rates!$B$5:$B$84,MATCH(M82,Rates!$A$5:$A$84,0)),"")</f>
        <v>Cement OPC, 50 kg bag (Lucky / Bestway / Maple Leaf)</v>
      </c>
      <c r="O82" s="12" t="n">
        <v>16.1284</v>
      </c>
      <c r="P82" s="14" t="str">
        <f aca="false">IFERROR(INDEX(Rates!$C$5:$C$84,MATCH(M82,Rates!$A$5:$A$84,0)),"")</f>
        <v>bag</v>
      </c>
      <c r="Q82" s="15" t="n">
        <f aca="false">IFERROR(INDEX(Rates!$D$5:$D$84,MATCH(M82,Rates!$A$5:$A$84,0)),0)</f>
        <v>0.03</v>
      </c>
      <c r="R82" s="12" t="n">
        <f aca="false">O82*(1+Q82)</f>
        <v>16.612252</v>
      </c>
      <c r="S82" s="16" t="n">
        <f aca="false">IFERROR(INDEX(Rates!$E$5:$E$84,MATCH(M82,Rates!$A$5:$A$84,0)),0)</f>
        <v>1560</v>
      </c>
      <c r="T82" s="7" t="n">
        <f aca="false">R82*S82</f>
        <v>25915.11312</v>
      </c>
      <c r="U82" s="17" t="str">
        <f aca="false">IF(M82="BRK",R82/2000,IF(OR(M82="SNDC",M82="SNDM",M82="CRS",M82="KHG",M82="EARTH"),R82/100,""))</f>
        <v/>
      </c>
    </row>
    <row r="83" customFormat="false" ht="15" hidden="false" customHeight="false" outlineLevel="0" collapsed="false">
      <c r="A83" s="6" t="s">
        <v>445</v>
      </c>
      <c r="B83" s="6" t="s">
        <v>446</v>
      </c>
      <c r="C83" s="6" t="s">
        <v>466</v>
      </c>
      <c r="D83" s="9"/>
      <c r="E83" s="9"/>
      <c r="F83" s="9"/>
      <c r="G83" s="9"/>
      <c r="H83" s="12"/>
      <c r="I83" s="6"/>
      <c r="J83" s="6" t="s">
        <v>452</v>
      </c>
      <c r="K83" s="6"/>
      <c r="L83" s="6"/>
      <c r="M83" s="6" t="s">
        <v>76</v>
      </c>
      <c r="N83" s="13" t="str">
        <f aca="false">IFERROR(INDEX(Rates!$B$5:$B$84,MATCH(M83,Rates!$A$5:$A$84,0)),"")</f>
        <v>Ravi sand (mortar, plaster, blinding, fill)</v>
      </c>
      <c r="O83" s="12" t="n">
        <v>120.9627</v>
      </c>
      <c r="P83" s="14" t="str">
        <f aca="false">IFERROR(INDEX(Rates!$C$5:$C$84,MATCH(M83,Rates!$A$5:$A$84,0)),"")</f>
        <v>cft</v>
      </c>
      <c r="Q83" s="15" t="n">
        <f aca="false">IFERROR(INDEX(Rates!$D$5:$D$84,MATCH(M83,Rates!$A$5:$A$84,0)),0)</f>
        <v>0.08</v>
      </c>
      <c r="R83" s="12" t="n">
        <f aca="false">O83*(1+Q83)</f>
        <v>130.639716</v>
      </c>
      <c r="S83" s="16" t="n">
        <f aca="false">IFERROR(INDEX(Rates!$E$5:$E$84,MATCH(M83,Rates!$A$5:$A$84,0)),0)</f>
        <v>40</v>
      </c>
      <c r="T83" s="7" t="n">
        <f aca="false">R83*S83</f>
        <v>5225.58864</v>
      </c>
      <c r="U83" s="17" t="n">
        <f aca="false">IF(M83="BRK",R83/2000,IF(OR(M83="SNDC",M83="SNDM",M83="CRS",M83="KHG",M83="EARTH"),R83/100,""))</f>
        <v>1.30639716</v>
      </c>
    </row>
    <row r="84" customFormat="false" ht="15" hidden="false" customHeight="false" outlineLevel="0" collapsed="false">
      <c r="A84" s="6" t="s">
        <v>445</v>
      </c>
      <c r="B84" s="6" t="s">
        <v>446</v>
      </c>
      <c r="C84" s="6" t="s">
        <v>466</v>
      </c>
      <c r="D84" s="9"/>
      <c r="E84" s="9"/>
      <c r="F84" s="9"/>
      <c r="G84" s="9"/>
      <c r="H84" s="12"/>
      <c r="I84" s="6"/>
      <c r="J84" s="6" t="s">
        <v>452</v>
      </c>
      <c r="K84" s="6"/>
      <c r="L84" s="6"/>
      <c r="M84" s="6" t="s">
        <v>43</v>
      </c>
      <c r="N84" s="13" t="str">
        <f aca="false">IFERROR(INDEX(Rates!$B$5:$B$84,MATCH(M84,Rates!$A$5:$A$84,0)),"")</f>
        <v>Bricks, first class (awwal), 9" x 4½" x 3"</v>
      </c>
      <c r="O84" s="12" t="n">
        <v>4774.8445</v>
      </c>
      <c r="P84" s="14" t="str">
        <f aca="false">IFERROR(INDEX(Rates!$C$5:$C$84,MATCH(M84,Rates!$A$5:$A$84,0)),"")</f>
        <v>nos</v>
      </c>
      <c r="Q84" s="15" t="n">
        <f aca="false">IFERROR(INDEX(Rates!$D$5:$D$84,MATCH(M84,Rates!$A$5:$A$84,0)),0)</f>
        <v>0.05</v>
      </c>
      <c r="R84" s="12" t="n">
        <f aca="false">O84*(1+Q84)</f>
        <v>5013.586725</v>
      </c>
      <c r="S84" s="16" t="n">
        <f aca="false">IFERROR(INDEX(Rates!$E$5:$E$84,MATCH(M84,Rates!$A$5:$A$84,0)),0)</f>
        <v>16</v>
      </c>
      <c r="T84" s="7" t="n">
        <f aca="false">R84*S84</f>
        <v>80217.3876</v>
      </c>
      <c r="U84" s="17" t="n">
        <f aca="false">IF(M84="BRK",R84/2000,IF(OR(M84="SNDC",M84="SNDM",M84="CRS",M84="KHG",M84="EARTH"),R84/100,""))</f>
        <v>2.5067933625</v>
      </c>
    </row>
    <row r="85" customFormat="false" ht="22.35" hidden="false" customHeight="false" outlineLevel="0" collapsed="false">
      <c r="A85" s="6" t="s">
        <v>445</v>
      </c>
      <c r="B85" s="6" t="s">
        <v>446</v>
      </c>
      <c r="C85" s="6" t="s">
        <v>471</v>
      </c>
      <c r="D85" s="9" t="s">
        <v>467</v>
      </c>
      <c r="E85" s="9" t="s">
        <v>472</v>
      </c>
      <c r="F85" s="9" t="s">
        <v>473</v>
      </c>
      <c r="G85" s="9" t="s">
        <v>474</v>
      </c>
      <c r="H85" s="12" t="n">
        <v>181.588</v>
      </c>
      <c r="I85" s="6" t="s">
        <v>71</v>
      </c>
      <c r="J85" s="6" t="s">
        <v>452</v>
      </c>
      <c r="K85" s="6"/>
      <c r="L85" s="6"/>
      <c r="M85" s="6" t="s">
        <v>37</v>
      </c>
      <c r="N85" s="13" t="str">
        <f aca="false">IFERROR(INDEX(Rates!$B$5:$B$84,MATCH(M85,Rates!$A$5:$A$84,0)),"")</f>
        <v>Cement OPC, 50 kg bag (Lucky / Bestway / Maple Leaf)</v>
      </c>
      <c r="O85" s="12" t="n">
        <v>11.5926</v>
      </c>
      <c r="P85" s="14" t="str">
        <f aca="false">IFERROR(INDEX(Rates!$C$5:$C$84,MATCH(M85,Rates!$A$5:$A$84,0)),"")</f>
        <v>bag</v>
      </c>
      <c r="Q85" s="15" t="n">
        <f aca="false">IFERROR(INDEX(Rates!$D$5:$D$84,MATCH(M85,Rates!$A$5:$A$84,0)),0)</f>
        <v>0.03</v>
      </c>
      <c r="R85" s="12" t="n">
        <f aca="false">O85*(1+Q85)</f>
        <v>11.940378</v>
      </c>
      <c r="S85" s="16" t="n">
        <f aca="false">IFERROR(INDEX(Rates!$E$5:$E$84,MATCH(M85,Rates!$A$5:$A$84,0)),0)</f>
        <v>1560</v>
      </c>
      <c r="T85" s="7" t="n">
        <f aca="false">R85*S85</f>
        <v>18626.98968</v>
      </c>
      <c r="U85" s="17" t="str">
        <f aca="false">IF(M85="BRK",R85/2000,IF(OR(M85="SNDC",M85="SNDM",M85="CRS",M85="KHG",M85="EARTH"),R85/100,""))</f>
        <v/>
      </c>
    </row>
    <row r="86" customFormat="false" ht="15" hidden="false" customHeight="false" outlineLevel="0" collapsed="false">
      <c r="A86" s="6" t="s">
        <v>445</v>
      </c>
      <c r="B86" s="6" t="s">
        <v>446</v>
      </c>
      <c r="C86" s="6" t="s">
        <v>471</v>
      </c>
      <c r="D86" s="9"/>
      <c r="E86" s="9"/>
      <c r="F86" s="9"/>
      <c r="G86" s="9"/>
      <c r="H86" s="12"/>
      <c r="I86" s="6"/>
      <c r="J86" s="6" t="s">
        <v>452</v>
      </c>
      <c r="K86" s="6"/>
      <c r="L86" s="6"/>
      <c r="M86" s="6" t="s">
        <v>76</v>
      </c>
      <c r="N86" s="13" t="str">
        <f aca="false">IFERROR(INDEX(Rates!$B$5:$B$84,MATCH(M86,Rates!$A$5:$A$84,0)),"")</f>
        <v>Ravi sand (mortar, plaster, blinding, fill)</v>
      </c>
      <c r="O86" s="12" t="n">
        <v>57.9628</v>
      </c>
      <c r="P86" s="14" t="str">
        <f aca="false">IFERROR(INDEX(Rates!$C$5:$C$84,MATCH(M86,Rates!$A$5:$A$84,0)),"")</f>
        <v>cft</v>
      </c>
      <c r="Q86" s="15" t="n">
        <f aca="false">IFERROR(INDEX(Rates!$D$5:$D$84,MATCH(M86,Rates!$A$5:$A$84,0)),0)</f>
        <v>0.08</v>
      </c>
      <c r="R86" s="12" t="n">
        <f aca="false">O86*(1+Q86)</f>
        <v>62.599824</v>
      </c>
      <c r="S86" s="16" t="n">
        <f aca="false">IFERROR(INDEX(Rates!$E$5:$E$84,MATCH(M86,Rates!$A$5:$A$84,0)),0)</f>
        <v>40</v>
      </c>
      <c r="T86" s="7" t="n">
        <f aca="false">R86*S86</f>
        <v>2503.99296</v>
      </c>
      <c r="U86" s="17" t="n">
        <f aca="false">IF(M86="BRK",R86/2000,IF(OR(M86="SNDC",M86="SNDM",M86="CRS",M86="KHG",M86="EARTH"),R86/100,""))</f>
        <v>0.62599824</v>
      </c>
    </row>
    <row r="87" customFormat="false" ht="15" hidden="false" customHeight="false" outlineLevel="0" collapsed="false">
      <c r="A87" s="6" t="s">
        <v>445</v>
      </c>
      <c r="B87" s="6" t="s">
        <v>446</v>
      </c>
      <c r="C87" s="6" t="s">
        <v>471</v>
      </c>
      <c r="D87" s="9"/>
      <c r="E87" s="9"/>
      <c r="F87" s="9"/>
      <c r="G87" s="9"/>
      <c r="H87" s="12"/>
      <c r="I87" s="6"/>
      <c r="J87" s="6" t="s">
        <v>452</v>
      </c>
      <c r="K87" s="6"/>
      <c r="L87" s="6"/>
      <c r="M87" s="6" t="s">
        <v>43</v>
      </c>
      <c r="N87" s="13" t="str">
        <f aca="false">IFERROR(INDEX(Rates!$B$5:$B$84,MATCH(M87,Rates!$A$5:$A$84,0)),"")</f>
        <v>Bricks, first class (awwal), 9" x 4½" x 3"</v>
      </c>
      <c r="O87" s="12" t="n">
        <v>2451.4334</v>
      </c>
      <c r="P87" s="14" t="str">
        <f aca="false">IFERROR(INDEX(Rates!$C$5:$C$84,MATCH(M87,Rates!$A$5:$A$84,0)),"")</f>
        <v>nos</v>
      </c>
      <c r="Q87" s="15" t="n">
        <f aca="false">IFERROR(INDEX(Rates!$D$5:$D$84,MATCH(M87,Rates!$A$5:$A$84,0)),0)</f>
        <v>0.05</v>
      </c>
      <c r="R87" s="12" t="n">
        <f aca="false">O87*(1+Q87)</f>
        <v>2574.00507</v>
      </c>
      <c r="S87" s="16" t="n">
        <f aca="false">IFERROR(INDEX(Rates!$E$5:$E$84,MATCH(M87,Rates!$A$5:$A$84,0)),0)</f>
        <v>16</v>
      </c>
      <c r="T87" s="7" t="n">
        <f aca="false">R87*S87</f>
        <v>41184.08112</v>
      </c>
      <c r="U87" s="17" t="n">
        <f aca="false">IF(M87="BRK",R87/2000,IF(OR(M87="SNDC",M87="SNDM",M87="CRS",M87="KHG",M87="EARTH"),R87/100,""))</f>
        <v>1.287002535</v>
      </c>
    </row>
    <row r="88" customFormat="false" ht="22.35" hidden="false" customHeight="false" outlineLevel="0" collapsed="false">
      <c r="A88" s="6" t="s">
        <v>445</v>
      </c>
      <c r="B88" s="6" t="s">
        <v>446</v>
      </c>
      <c r="C88" s="6" t="s">
        <v>475</v>
      </c>
      <c r="D88" s="9" t="s">
        <v>476</v>
      </c>
      <c r="E88" s="9" t="s">
        <v>477</v>
      </c>
      <c r="F88" s="9" t="s">
        <v>478</v>
      </c>
      <c r="G88" s="9" t="s">
        <v>479</v>
      </c>
      <c r="H88" s="12" t="n">
        <v>154.384</v>
      </c>
      <c r="I88" s="6" t="s">
        <v>71</v>
      </c>
      <c r="J88" s="6" t="s">
        <v>452</v>
      </c>
      <c r="K88" s="6"/>
      <c r="L88" s="6"/>
      <c r="M88" s="6" t="s">
        <v>37</v>
      </c>
      <c r="N88" s="13" t="str">
        <f aca="false">IFERROR(INDEX(Rates!$B$5:$B$84,MATCH(M88,Rates!$A$5:$A$84,0)),"")</f>
        <v>Cement OPC, 50 kg bag (Lucky / Bestway / Maple Leaf)</v>
      </c>
      <c r="O88" s="12" t="n">
        <v>9.8558</v>
      </c>
      <c r="P88" s="14" t="str">
        <f aca="false">IFERROR(INDEX(Rates!$C$5:$C$84,MATCH(M88,Rates!$A$5:$A$84,0)),"")</f>
        <v>bag</v>
      </c>
      <c r="Q88" s="15" t="n">
        <f aca="false">IFERROR(INDEX(Rates!$D$5:$D$84,MATCH(M88,Rates!$A$5:$A$84,0)),0)</f>
        <v>0.03</v>
      </c>
      <c r="R88" s="12" t="n">
        <f aca="false">O88*(1+Q88)</f>
        <v>10.151474</v>
      </c>
      <c r="S88" s="16" t="n">
        <f aca="false">IFERROR(INDEX(Rates!$E$5:$E$84,MATCH(M88,Rates!$A$5:$A$84,0)),0)</f>
        <v>1560</v>
      </c>
      <c r="T88" s="7" t="n">
        <f aca="false">R88*S88</f>
        <v>15836.29944</v>
      </c>
      <c r="U88" s="17" t="str">
        <f aca="false">IF(M88="BRK",R88/2000,IF(OR(M88="SNDC",M88="SNDM",M88="CRS",M88="KHG",M88="EARTH"),R88/100,""))</f>
        <v/>
      </c>
    </row>
    <row r="89" customFormat="false" ht="15" hidden="false" customHeight="false" outlineLevel="0" collapsed="false">
      <c r="A89" s="6" t="s">
        <v>445</v>
      </c>
      <c r="B89" s="6" t="s">
        <v>446</v>
      </c>
      <c r="C89" s="6" t="s">
        <v>475</v>
      </c>
      <c r="D89" s="9"/>
      <c r="E89" s="9"/>
      <c r="F89" s="9"/>
      <c r="G89" s="9"/>
      <c r="H89" s="12"/>
      <c r="I89" s="6"/>
      <c r="J89" s="6" t="s">
        <v>452</v>
      </c>
      <c r="K89" s="6"/>
      <c r="L89" s="6"/>
      <c r="M89" s="6" t="s">
        <v>76</v>
      </c>
      <c r="N89" s="13" t="str">
        <f aca="false">IFERROR(INDEX(Rates!$B$5:$B$84,MATCH(M89,Rates!$A$5:$A$84,0)),"")</f>
        <v>Ravi sand (mortar, plaster, blinding, fill)</v>
      </c>
      <c r="O89" s="12" t="n">
        <v>49.2792</v>
      </c>
      <c r="P89" s="14" t="str">
        <f aca="false">IFERROR(INDEX(Rates!$C$5:$C$84,MATCH(M89,Rates!$A$5:$A$84,0)),"")</f>
        <v>cft</v>
      </c>
      <c r="Q89" s="15" t="n">
        <f aca="false">IFERROR(INDEX(Rates!$D$5:$D$84,MATCH(M89,Rates!$A$5:$A$84,0)),0)</f>
        <v>0.08</v>
      </c>
      <c r="R89" s="12" t="n">
        <f aca="false">O89*(1+Q89)</f>
        <v>53.221536</v>
      </c>
      <c r="S89" s="16" t="n">
        <f aca="false">IFERROR(INDEX(Rates!$E$5:$E$84,MATCH(M89,Rates!$A$5:$A$84,0)),0)</f>
        <v>40</v>
      </c>
      <c r="T89" s="7" t="n">
        <f aca="false">R89*S89</f>
        <v>2128.86144</v>
      </c>
      <c r="U89" s="17" t="n">
        <f aca="false">IF(M89="BRK",R89/2000,IF(OR(M89="SNDC",M89="SNDM",M89="CRS",M89="KHG",M89="EARTH"),R89/100,""))</f>
        <v>0.53221536</v>
      </c>
    </row>
    <row r="90" customFormat="false" ht="15" hidden="false" customHeight="false" outlineLevel="0" collapsed="false">
      <c r="A90" s="6" t="s">
        <v>445</v>
      </c>
      <c r="B90" s="6" t="s">
        <v>446</v>
      </c>
      <c r="C90" s="6" t="s">
        <v>475</v>
      </c>
      <c r="D90" s="9"/>
      <c r="E90" s="9"/>
      <c r="F90" s="9"/>
      <c r="G90" s="9"/>
      <c r="H90" s="12"/>
      <c r="I90" s="6"/>
      <c r="J90" s="6" t="s">
        <v>452</v>
      </c>
      <c r="K90" s="6"/>
      <c r="L90" s="6"/>
      <c r="M90" s="6" t="s">
        <v>43</v>
      </c>
      <c r="N90" s="13" t="str">
        <f aca="false">IFERROR(INDEX(Rates!$B$5:$B$84,MATCH(M90,Rates!$A$5:$A$84,0)),"")</f>
        <v>Bricks, first class (awwal), 9" x 4½" x 3"</v>
      </c>
      <c r="O90" s="12" t="n">
        <v>2084.1785</v>
      </c>
      <c r="P90" s="14" t="str">
        <f aca="false">IFERROR(INDEX(Rates!$C$5:$C$84,MATCH(M90,Rates!$A$5:$A$84,0)),"")</f>
        <v>nos</v>
      </c>
      <c r="Q90" s="15" t="n">
        <f aca="false">IFERROR(INDEX(Rates!$D$5:$D$84,MATCH(M90,Rates!$A$5:$A$84,0)),0)</f>
        <v>0.05</v>
      </c>
      <c r="R90" s="12" t="n">
        <f aca="false">O90*(1+Q90)</f>
        <v>2188.387425</v>
      </c>
      <c r="S90" s="16" t="n">
        <f aca="false">IFERROR(INDEX(Rates!$E$5:$E$84,MATCH(M90,Rates!$A$5:$A$84,0)),0)</f>
        <v>16</v>
      </c>
      <c r="T90" s="7" t="n">
        <f aca="false">R90*S90</f>
        <v>35014.1988</v>
      </c>
      <c r="U90" s="17" t="n">
        <f aca="false">IF(M90="BRK",R90/2000,IF(OR(M90="SNDC",M90="SNDM",M90="CRS",M90="KHG",M90="EARTH"),R90/100,""))</f>
        <v>1.0941937125</v>
      </c>
    </row>
    <row r="91" customFormat="false" ht="22.35" hidden="false" customHeight="false" outlineLevel="0" collapsed="false">
      <c r="A91" s="6" t="s">
        <v>445</v>
      </c>
      <c r="B91" s="6" t="s">
        <v>446</v>
      </c>
      <c r="C91" s="6" t="s">
        <v>480</v>
      </c>
      <c r="D91" s="9" t="s">
        <v>481</v>
      </c>
      <c r="E91" s="9" t="s">
        <v>482</v>
      </c>
      <c r="F91" s="9" t="s">
        <v>483</v>
      </c>
      <c r="G91" s="9" t="s">
        <v>484</v>
      </c>
      <c r="H91" s="12" t="n">
        <v>72.122</v>
      </c>
      <c r="I91" s="6" t="s">
        <v>71</v>
      </c>
      <c r="J91" s="6" t="s">
        <v>452</v>
      </c>
      <c r="K91" s="6"/>
      <c r="L91" s="6"/>
      <c r="M91" s="6" t="s">
        <v>37</v>
      </c>
      <c r="N91" s="13" t="str">
        <f aca="false">IFERROR(INDEX(Rates!$B$5:$B$84,MATCH(M91,Rates!$A$5:$A$84,0)),"")</f>
        <v>Cement OPC, 50 kg bag (Lucky / Bestway / Maple Leaf)</v>
      </c>
      <c r="O91" s="12" t="n">
        <v>4.6043</v>
      </c>
      <c r="P91" s="14" t="str">
        <f aca="false">IFERROR(INDEX(Rates!$C$5:$C$84,MATCH(M91,Rates!$A$5:$A$84,0)),"")</f>
        <v>bag</v>
      </c>
      <c r="Q91" s="15" t="n">
        <f aca="false">IFERROR(INDEX(Rates!$D$5:$D$84,MATCH(M91,Rates!$A$5:$A$84,0)),0)</f>
        <v>0.03</v>
      </c>
      <c r="R91" s="12" t="n">
        <f aca="false">O91*(1+Q91)</f>
        <v>4.742429</v>
      </c>
      <c r="S91" s="16" t="n">
        <f aca="false">IFERROR(INDEX(Rates!$E$5:$E$84,MATCH(M91,Rates!$A$5:$A$84,0)),0)</f>
        <v>1560</v>
      </c>
      <c r="T91" s="7" t="n">
        <f aca="false">R91*S91</f>
        <v>7398.18924</v>
      </c>
      <c r="U91" s="17" t="str">
        <f aca="false">IF(M91="BRK",R91/2000,IF(OR(M91="SNDC",M91="SNDM",M91="CRS",M91="KHG",M91="EARTH"),R91/100,""))</f>
        <v/>
      </c>
    </row>
    <row r="92" customFormat="false" ht="15" hidden="false" customHeight="false" outlineLevel="0" collapsed="false">
      <c r="A92" s="6" t="s">
        <v>445</v>
      </c>
      <c r="B92" s="6" t="s">
        <v>446</v>
      </c>
      <c r="C92" s="6" t="s">
        <v>480</v>
      </c>
      <c r="D92" s="9"/>
      <c r="E92" s="9"/>
      <c r="F92" s="9"/>
      <c r="G92" s="9"/>
      <c r="H92" s="12"/>
      <c r="I92" s="6"/>
      <c r="J92" s="6" t="s">
        <v>452</v>
      </c>
      <c r="K92" s="6"/>
      <c r="L92" s="6"/>
      <c r="M92" s="6" t="s">
        <v>76</v>
      </c>
      <c r="N92" s="13" t="str">
        <f aca="false">IFERROR(INDEX(Rates!$B$5:$B$84,MATCH(M92,Rates!$A$5:$A$84,0)),"")</f>
        <v>Ravi sand (mortar, plaster, blinding, fill)</v>
      </c>
      <c r="O92" s="12" t="n">
        <v>23.0213</v>
      </c>
      <c r="P92" s="14" t="str">
        <f aca="false">IFERROR(INDEX(Rates!$C$5:$C$84,MATCH(M92,Rates!$A$5:$A$84,0)),"")</f>
        <v>cft</v>
      </c>
      <c r="Q92" s="15" t="n">
        <f aca="false">IFERROR(INDEX(Rates!$D$5:$D$84,MATCH(M92,Rates!$A$5:$A$84,0)),0)</f>
        <v>0.08</v>
      </c>
      <c r="R92" s="12" t="n">
        <f aca="false">O92*(1+Q92)</f>
        <v>24.863004</v>
      </c>
      <c r="S92" s="16" t="n">
        <f aca="false">IFERROR(INDEX(Rates!$E$5:$E$84,MATCH(M92,Rates!$A$5:$A$84,0)),0)</f>
        <v>40</v>
      </c>
      <c r="T92" s="7" t="n">
        <f aca="false">R92*S92</f>
        <v>994.52016</v>
      </c>
      <c r="U92" s="17" t="n">
        <f aca="false">IF(M92="BRK",R92/2000,IF(OR(M92="SNDC",M92="SNDM",M92="CRS",M92="KHG",M92="EARTH"),R92/100,""))</f>
        <v>0.24863004</v>
      </c>
    </row>
    <row r="93" customFormat="false" ht="15" hidden="false" customHeight="false" outlineLevel="0" collapsed="false">
      <c r="A93" s="6" t="s">
        <v>445</v>
      </c>
      <c r="B93" s="6" t="s">
        <v>446</v>
      </c>
      <c r="C93" s="6" t="s">
        <v>480</v>
      </c>
      <c r="D93" s="9"/>
      <c r="E93" s="9"/>
      <c r="F93" s="9"/>
      <c r="G93" s="9"/>
      <c r="H93" s="12"/>
      <c r="I93" s="6"/>
      <c r="J93" s="6" t="s">
        <v>452</v>
      </c>
      <c r="K93" s="6"/>
      <c r="L93" s="6"/>
      <c r="M93" s="6" t="s">
        <v>43</v>
      </c>
      <c r="N93" s="13" t="str">
        <f aca="false">IFERROR(INDEX(Rates!$B$5:$B$84,MATCH(M93,Rates!$A$5:$A$84,0)),"")</f>
        <v>Bricks, first class (awwal), 9" x 4½" x 3"</v>
      </c>
      <c r="O93" s="12" t="n">
        <v>973.6453</v>
      </c>
      <c r="P93" s="14" t="str">
        <f aca="false">IFERROR(INDEX(Rates!$C$5:$C$84,MATCH(M93,Rates!$A$5:$A$84,0)),"")</f>
        <v>nos</v>
      </c>
      <c r="Q93" s="15" t="n">
        <f aca="false">IFERROR(INDEX(Rates!$D$5:$D$84,MATCH(M93,Rates!$A$5:$A$84,0)),0)</f>
        <v>0.05</v>
      </c>
      <c r="R93" s="12" t="n">
        <f aca="false">O93*(1+Q93)</f>
        <v>1022.327565</v>
      </c>
      <c r="S93" s="16" t="n">
        <f aca="false">IFERROR(INDEX(Rates!$E$5:$E$84,MATCH(M93,Rates!$A$5:$A$84,0)),0)</f>
        <v>16</v>
      </c>
      <c r="T93" s="7" t="n">
        <f aca="false">R93*S93</f>
        <v>16357.24104</v>
      </c>
      <c r="U93" s="17" t="n">
        <f aca="false">IF(M93="BRK",R93/2000,IF(OR(M93="SNDC",M93="SNDM",M93="CRS",M93="KHG",M93="EARTH"),R93/100,""))</f>
        <v>0.5111637825</v>
      </c>
    </row>
    <row r="94" customFormat="false" ht="22.35" hidden="false" customHeight="false" outlineLevel="0" collapsed="false">
      <c r="A94" s="6" t="s">
        <v>445</v>
      </c>
      <c r="B94" s="6" t="s">
        <v>446</v>
      </c>
      <c r="C94" s="6" t="s">
        <v>485</v>
      </c>
      <c r="D94" s="9" t="s">
        <v>486</v>
      </c>
      <c r="E94" s="9" t="s">
        <v>487</v>
      </c>
      <c r="F94" s="9"/>
      <c r="G94" s="9" t="s">
        <v>488</v>
      </c>
      <c r="H94" s="12" t="n">
        <v>249.585</v>
      </c>
      <c r="I94" s="6" t="s">
        <v>71</v>
      </c>
      <c r="J94" s="6" t="s">
        <v>489</v>
      </c>
      <c r="K94" s="6"/>
      <c r="L94" s="6"/>
      <c r="M94" s="6" t="s">
        <v>37</v>
      </c>
      <c r="N94" s="13" t="str">
        <f aca="false">IFERROR(INDEX(Rates!$B$5:$B$84,MATCH(M94,Rates!$A$5:$A$84,0)),"")</f>
        <v>Cement OPC, 50 kg bag (Lucky / Bestway / Maple Leaf)</v>
      </c>
      <c r="O94" s="12" t="n">
        <v>15.9335</v>
      </c>
      <c r="P94" s="14" t="str">
        <f aca="false">IFERROR(INDEX(Rates!$C$5:$C$84,MATCH(M94,Rates!$A$5:$A$84,0)),"")</f>
        <v>bag</v>
      </c>
      <c r="Q94" s="15" t="n">
        <f aca="false">IFERROR(INDEX(Rates!$D$5:$D$84,MATCH(M94,Rates!$A$5:$A$84,0)),0)</f>
        <v>0.03</v>
      </c>
      <c r="R94" s="12" t="n">
        <f aca="false">O94*(1+Q94)</f>
        <v>16.411505</v>
      </c>
      <c r="S94" s="16" t="n">
        <f aca="false">IFERROR(INDEX(Rates!$E$5:$E$84,MATCH(M94,Rates!$A$5:$A$84,0)),0)</f>
        <v>1560</v>
      </c>
      <c r="T94" s="7" t="n">
        <f aca="false">R94*S94</f>
        <v>25601.9478</v>
      </c>
      <c r="U94" s="17" t="str">
        <f aca="false">IF(M94="BRK",R94/2000,IF(OR(M94="SNDC",M94="SNDM",M94="CRS",M94="KHG",M94="EARTH"),R94/100,""))</f>
        <v/>
      </c>
    </row>
    <row r="95" customFormat="false" ht="15" hidden="false" customHeight="false" outlineLevel="0" collapsed="false">
      <c r="A95" s="6" t="s">
        <v>445</v>
      </c>
      <c r="B95" s="6" t="s">
        <v>446</v>
      </c>
      <c r="C95" s="6" t="s">
        <v>485</v>
      </c>
      <c r="D95" s="9"/>
      <c r="E95" s="9"/>
      <c r="F95" s="9"/>
      <c r="G95" s="9"/>
      <c r="H95" s="12"/>
      <c r="I95" s="6"/>
      <c r="J95" s="6" t="s">
        <v>489</v>
      </c>
      <c r="K95" s="6"/>
      <c r="L95" s="6"/>
      <c r="M95" s="6" t="s">
        <v>76</v>
      </c>
      <c r="N95" s="13" t="str">
        <f aca="false">IFERROR(INDEX(Rates!$B$5:$B$84,MATCH(M95,Rates!$A$5:$A$84,0)),"")</f>
        <v>Ravi sand (mortar, plaster, blinding, fill)</v>
      </c>
      <c r="O95" s="12" t="n">
        <v>79.6676</v>
      </c>
      <c r="P95" s="14" t="str">
        <f aca="false">IFERROR(INDEX(Rates!$C$5:$C$84,MATCH(M95,Rates!$A$5:$A$84,0)),"")</f>
        <v>cft</v>
      </c>
      <c r="Q95" s="15" t="n">
        <f aca="false">IFERROR(INDEX(Rates!$D$5:$D$84,MATCH(M95,Rates!$A$5:$A$84,0)),0)</f>
        <v>0.08</v>
      </c>
      <c r="R95" s="12" t="n">
        <f aca="false">O95*(1+Q95)</f>
        <v>86.041008</v>
      </c>
      <c r="S95" s="16" t="n">
        <f aca="false">IFERROR(INDEX(Rates!$E$5:$E$84,MATCH(M95,Rates!$A$5:$A$84,0)),0)</f>
        <v>40</v>
      </c>
      <c r="T95" s="7" t="n">
        <f aca="false">R95*S95</f>
        <v>3441.64032</v>
      </c>
      <c r="U95" s="17" t="n">
        <f aca="false">IF(M95="BRK",R95/2000,IF(OR(M95="SNDC",M95="SNDM",M95="CRS",M95="KHG",M95="EARTH"),R95/100,""))</f>
        <v>0.86041008</v>
      </c>
    </row>
    <row r="96" customFormat="false" ht="15" hidden="false" customHeight="false" outlineLevel="0" collapsed="false">
      <c r="A96" s="6" t="s">
        <v>445</v>
      </c>
      <c r="B96" s="6" t="s">
        <v>446</v>
      </c>
      <c r="C96" s="6" t="s">
        <v>485</v>
      </c>
      <c r="D96" s="9"/>
      <c r="E96" s="9"/>
      <c r="F96" s="9"/>
      <c r="G96" s="9"/>
      <c r="H96" s="12"/>
      <c r="I96" s="6"/>
      <c r="J96" s="6" t="s">
        <v>489</v>
      </c>
      <c r="K96" s="6"/>
      <c r="L96" s="6"/>
      <c r="M96" s="6" t="s">
        <v>43</v>
      </c>
      <c r="N96" s="13" t="str">
        <f aca="false">IFERROR(INDEX(Rates!$B$5:$B$84,MATCH(M96,Rates!$A$5:$A$84,0)),"")</f>
        <v>Bricks, first class (awwal), 9" x 4½" x 3"</v>
      </c>
      <c r="O96" s="12" t="n">
        <v>3369.3991</v>
      </c>
      <c r="P96" s="14" t="str">
        <f aca="false">IFERROR(INDEX(Rates!$C$5:$C$84,MATCH(M96,Rates!$A$5:$A$84,0)),"")</f>
        <v>nos</v>
      </c>
      <c r="Q96" s="15" t="n">
        <f aca="false">IFERROR(INDEX(Rates!$D$5:$D$84,MATCH(M96,Rates!$A$5:$A$84,0)),0)</f>
        <v>0.05</v>
      </c>
      <c r="R96" s="12" t="n">
        <f aca="false">O96*(1+Q96)</f>
        <v>3537.869055</v>
      </c>
      <c r="S96" s="16" t="n">
        <f aca="false">IFERROR(INDEX(Rates!$E$5:$E$84,MATCH(M96,Rates!$A$5:$A$84,0)),0)</f>
        <v>16</v>
      </c>
      <c r="T96" s="7" t="n">
        <f aca="false">R96*S96</f>
        <v>56605.90488</v>
      </c>
      <c r="U96" s="17" t="n">
        <f aca="false">IF(M96="BRK",R96/2000,IF(OR(M96="SNDC",M96="SNDM",M96="CRS",M96="KHG",M96="EARTH"),R96/100,""))</f>
        <v>1.7689345275</v>
      </c>
    </row>
    <row r="97" customFormat="false" ht="22.35" hidden="false" customHeight="false" outlineLevel="0" collapsed="false">
      <c r="A97" s="6" t="s">
        <v>490</v>
      </c>
      <c r="B97" s="6" t="s">
        <v>491</v>
      </c>
      <c r="C97" s="6" t="s">
        <v>492</v>
      </c>
      <c r="D97" s="9" t="s">
        <v>299</v>
      </c>
      <c r="E97" s="9" t="s">
        <v>493</v>
      </c>
      <c r="F97" s="9" t="s">
        <v>494</v>
      </c>
      <c r="G97" s="9" t="s">
        <v>495</v>
      </c>
      <c r="H97" s="12" t="n">
        <v>20.883</v>
      </c>
      <c r="I97" s="6" t="s">
        <v>71</v>
      </c>
      <c r="J97" s="6" t="s">
        <v>496</v>
      </c>
      <c r="K97" s="6" t="s">
        <v>497</v>
      </c>
      <c r="L97" s="6"/>
      <c r="M97" s="6" t="s">
        <v>37</v>
      </c>
      <c r="N97" s="13" t="str">
        <f aca="false">IFERROR(INDEX(Rates!$B$5:$B$84,MATCH(M97,Rates!$A$5:$A$84,0)),"")</f>
        <v>Cement OPC, 50 kg bag (Lucky / Bestway / Maple Leaf)</v>
      </c>
      <c r="O97" s="12" t="n">
        <v>4.7689</v>
      </c>
      <c r="P97" s="14" t="str">
        <f aca="false">IFERROR(INDEX(Rates!$C$5:$C$84,MATCH(M97,Rates!$A$5:$A$84,0)),"")</f>
        <v>bag</v>
      </c>
      <c r="Q97" s="15" t="n">
        <f aca="false">IFERROR(INDEX(Rates!$D$5:$D$84,MATCH(M97,Rates!$A$5:$A$84,0)),0)</f>
        <v>0.03</v>
      </c>
      <c r="R97" s="12" t="n">
        <f aca="false">O97*(1+Q97)</f>
        <v>4.911967</v>
      </c>
      <c r="S97" s="16" t="n">
        <f aca="false">IFERROR(INDEX(Rates!$E$5:$E$84,MATCH(M97,Rates!$A$5:$A$84,0)),0)</f>
        <v>1560</v>
      </c>
      <c r="T97" s="7" t="n">
        <f aca="false">R97*S97</f>
        <v>7662.66852</v>
      </c>
      <c r="U97" s="17" t="str">
        <f aca="false">IF(M97="BRK",R97/2000,IF(OR(M97="SNDC",M97="SNDM",M97="CRS",M97="KHG",M97="EARTH"),R97/100,""))</f>
        <v/>
      </c>
    </row>
    <row r="98" customFormat="false" ht="15" hidden="false" customHeight="false" outlineLevel="0" collapsed="false">
      <c r="A98" s="6" t="s">
        <v>490</v>
      </c>
      <c r="B98" s="6" t="s">
        <v>491</v>
      </c>
      <c r="C98" s="6" t="s">
        <v>492</v>
      </c>
      <c r="D98" s="9"/>
      <c r="E98" s="9"/>
      <c r="F98" s="9"/>
      <c r="G98" s="9"/>
      <c r="H98" s="12"/>
      <c r="I98" s="6"/>
      <c r="J98" s="6" t="s">
        <v>496</v>
      </c>
      <c r="K98" s="6" t="s">
        <v>497</v>
      </c>
      <c r="L98" s="6"/>
      <c r="M98" s="6" t="s">
        <v>69</v>
      </c>
      <c r="N98" s="13" t="str">
        <f aca="false">IFERROR(INDEX(Rates!$B$5:$B$84,MATCH(M98,Rates!$A$5:$A$84,0)),"")</f>
        <v>Chenab sand (concrete, screed)</v>
      </c>
      <c r="O98" s="12" t="n">
        <v>8.9416</v>
      </c>
      <c r="P98" s="14" t="str">
        <f aca="false">IFERROR(INDEX(Rates!$C$5:$C$84,MATCH(M98,Rates!$A$5:$A$84,0)),"")</f>
        <v>cft</v>
      </c>
      <c r="Q98" s="15" t="n">
        <f aca="false">IFERROR(INDEX(Rates!$D$5:$D$84,MATCH(M98,Rates!$A$5:$A$84,0)),0)</f>
        <v>0.08</v>
      </c>
      <c r="R98" s="12" t="n">
        <f aca="false">O98*(1+Q98)</f>
        <v>9.656928</v>
      </c>
      <c r="S98" s="16" t="n">
        <f aca="false">IFERROR(INDEX(Rates!$E$5:$E$84,MATCH(M98,Rates!$A$5:$A$84,0)),0)</f>
        <v>65</v>
      </c>
      <c r="T98" s="7" t="n">
        <f aca="false">R98*S98</f>
        <v>627.70032</v>
      </c>
      <c r="U98" s="17" t="n">
        <f aca="false">IF(M98="BRK",R98/2000,IF(OR(M98="SNDC",M98="SNDM",M98="CRS",M98="KHG",M98="EARTH"),R98/100,""))</f>
        <v>0.09656928</v>
      </c>
    </row>
    <row r="99" customFormat="false" ht="15" hidden="false" customHeight="false" outlineLevel="0" collapsed="false">
      <c r="A99" s="6" t="s">
        <v>490</v>
      </c>
      <c r="B99" s="6" t="s">
        <v>491</v>
      </c>
      <c r="C99" s="6" t="s">
        <v>492</v>
      </c>
      <c r="D99" s="9"/>
      <c r="E99" s="9"/>
      <c r="F99" s="9"/>
      <c r="G99" s="9"/>
      <c r="H99" s="12"/>
      <c r="I99" s="6"/>
      <c r="J99" s="6" t="s">
        <v>496</v>
      </c>
      <c r="K99" s="6" t="s">
        <v>497</v>
      </c>
      <c r="L99" s="6"/>
      <c r="M99" s="6" t="s">
        <v>79</v>
      </c>
      <c r="N99" s="13" t="str">
        <f aca="false">IFERROR(INDEX(Rates!$B$5:$B$84,MATCH(M99,Rates!$A$5:$A$84,0)),"")</f>
        <v>Crush ¾" down, Sargodha (bajri)</v>
      </c>
      <c r="O99" s="12" t="n">
        <v>17.8833</v>
      </c>
      <c r="P99" s="14" t="str">
        <f aca="false">IFERROR(INDEX(Rates!$C$5:$C$84,MATCH(M99,Rates!$A$5:$A$84,0)),"")</f>
        <v>cft</v>
      </c>
      <c r="Q99" s="15" t="n">
        <f aca="false">IFERROR(INDEX(Rates!$D$5:$D$84,MATCH(M99,Rates!$A$5:$A$84,0)),0)</f>
        <v>0.05</v>
      </c>
      <c r="R99" s="12" t="n">
        <f aca="false">O99*(1+Q99)</f>
        <v>18.777465</v>
      </c>
      <c r="S99" s="16" t="n">
        <f aca="false">IFERROR(INDEX(Rates!$E$5:$E$84,MATCH(M99,Rates!$A$5:$A$84,0)),0)</f>
        <v>110</v>
      </c>
      <c r="T99" s="7" t="n">
        <f aca="false">R99*S99</f>
        <v>2065.52115</v>
      </c>
      <c r="U99" s="17" t="n">
        <f aca="false">IF(M99="BRK",R99/2000,IF(OR(M99="SNDC",M99="SNDM",M99="CRS",M99="KHG",M99="EARTH"),R99/100,""))</f>
        <v>0.18777465</v>
      </c>
    </row>
    <row r="100" customFormat="false" ht="15" hidden="false" customHeight="false" outlineLevel="0" collapsed="false">
      <c r="A100" s="6" t="s">
        <v>490</v>
      </c>
      <c r="B100" s="6" t="s">
        <v>491</v>
      </c>
      <c r="C100" s="6" t="s">
        <v>492</v>
      </c>
      <c r="D100" s="9"/>
      <c r="E100" s="9"/>
      <c r="F100" s="9"/>
      <c r="G100" s="9"/>
      <c r="H100" s="12"/>
      <c r="I100" s="6"/>
      <c r="J100" s="6" t="s">
        <v>496</v>
      </c>
      <c r="K100" s="6" t="s">
        <v>497</v>
      </c>
      <c r="L100" s="6"/>
      <c r="M100" s="6" t="s">
        <v>62</v>
      </c>
      <c r="N100" s="13" t="str">
        <f aca="false">IFERROR(INDEX(Rates!$B$5:$B$84,MATCH(M100,Rates!$A$5:$A$84,0)),"")</f>
        <v>Steel Grade 60 deformed, #6 (20 mm)</v>
      </c>
      <c r="O100" s="12" t="n">
        <v>51.7785</v>
      </c>
      <c r="P100" s="14" t="str">
        <f aca="false">IFERROR(INDEX(Rates!$C$5:$C$84,MATCH(M100,Rates!$A$5:$A$84,0)),"")</f>
        <v>kg</v>
      </c>
      <c r="Q100" s="15" t="n">
        <f aca="false">IFERROR(INDEX(Rates!$D$5:$D$84,MATCH(M100,Rates!$A$5:$A$84,0)),0)</f>
        <v>0.04</v>
      </c>
      <c r="R100" s="12" t="n">
        <f aca="false">O100*(1+Q100)</f>
        <v>53.84964</v>
      </c>
      <c r="S100" s="16" t="n">
        <f aca="false">IFERROR(INDEX(Rates!$E$5:$E$84,MATCH(M100,Rates!$A$5:$A$84,0)),0)</f>
        <v>262</v>
      </c>
      <c r="T100" s="7" t="n">
        <f aca="false">R100*S100</f>
        <v>14108.60568</v>
      </c>
      <c r="U100" s="17" t="str">
        <f aca="false">IF(M100="BRK",R100/2000,IF(OR(M100="SNDC",M100="SNDM",M100="CRS",M100="KHG",M100="EARTH"),R100/100,""))</f>
        <v/>
      </c>
    </row>
    <row r="101" customFormat="false" ht="22.35" hidden="false" customHeight="false" outlineLevel="0" collapsed="false">
      <c r="A101" s="6" t="s">
        <v>490</v>
      </c>
      <c r="B101" s="6" t="s">
        <v>491</v>
      </c>
      <c r="C101" s="6" t="s">
        <v>492</v>
      </c>
      <c r="D101" s="9"/>
      <c r="E101" s="9"/>
      <c r="F101" s="9"/>
      <c r="G101" s="9"/>
      <c r="H101" s="12"/>
      <c r="I101" s="6"/>
      <c r="J101" s="6" t="s">
        <v>496</v>
      </c>
      <c r="K101" s="6" t="s">
        <v>497</v>
      </c>
      <c r="L101" s="6"/>
      <c r="M101" s="6" t="s">
        <v>56</v>
      </c>
      <c r="N101" s="13" t="str">
        <f aca="false">IFERROR(INDEX(Rates!$B$5:$B$84,MATCH(M101,Rates!$A$5:$A$84,0)),"")</f>
        <v>Steel Grade 60 deformed, #3 (10 mm) (Amreli / Mughal / FF Steel)</v>
      </c>
      <c r="O101" s="12" t="n">
        <v>23.1949</v>
      </c>
      <c r="P101" s="14" t="str">
        <f aca="false">IFERROR(INDEX(Rates!$C$5:$C$84,MATCH(M101,Rates!$A$5:$A$84,0)),"")</f>
        <v>kg</v>
      </c>
      <c r="Q101" s="15" t="n">
        <f aca="false">IFERROR(INDEX(Rates!$D$5:$D$84,MATCH(M101,Rates!$A$5:$A$84,0)),0)</f>
        <v>0.04</v>
      </c>
      <c r="R101" s="12" t="n">
        <f aca="false">O101*(1+Q101)</f>
        <v>24.122696</v>
      </c>
      <c r="S101" s="16" t="n">
        <f aca="false">IFERROR(INDEX(Rates!$E$5:$E$84,MATCH(M101,Rates!$A$5:$A$84,0)),0)</f>
        <v>262</v>
      </c>
      <c r="T101" s="7" t="n">
        <f aca="false">R101*S101</f>
        <v>6320.146352</v>
      </c>
      <c r="U101" s="17" t="str">
        <f aca="false">IF(M101="BRK",R101/2000,IF(OR(M101="SNDC",M101="SNDM",M101="CRS",M101="KHG",M101="EARTH"),R101/100,""))</f>
        <v/>
      </c>
    </row>
    <row r="102" customFormat="false" ht="22.35" hidden="false" customHeight="false" outlineLevel="0" collapsed="false">
      <c r="A102" s="6" t="s">
        <v>490</v>
      </c>
      <c r="B102" s="6" t="s">
        <v>491</v>
      </c>
      <c r="C102" s="6" t="s">
        <v>498</v>
      </c>
      <c r="D102" s="9" t="s">
        <v>499</v>
      </c>
      <c r="E102" s="9" t="s">
        <v>500</v>
      </c>
      <c r="F102" s="9" t="s">
        <v>501</v>
      </c>
      <c r="G102" s="9" t="s">
        <v>502</v>
      </c>
      <c r="H102" s="12" t="n">
        <v>781.458</v>
      </c>
      <c r="I102" s="6" t="s">
        <v>71</v>
      </c>
      <c r="J102" s="6" t="s">
        <v>503</v>
      </c>
      <c r="K102" s="6" t="s">
        <v>504</v>
      </c>
      <c r="L102" s="6"/>
      <c r="M102" s="6" t="s">
        <v>37</v>
      </c>
      <c r="N102" s="13" t="str">
        <f aca="false">IFERROR(INDEX(Rates!$B$5:$B$84,MATCH(M102,Rates!$A$5:$A$84,0)),"")</f>
        <v>Cement OPC, 50 kg bag (Lucky / Bestway / Maple Leaf)</v>
      </c>
      <c r="O102" s="12" t="n">
        <v>140.216</v>
      </c>
      <c r="P102" s="14" t="str">
        <f aca="false">IFERROR(INDEX(Rates!$C$5:$C$84,MATCH(M102,Rates!$A$5:$A$84,0)),"")</f>
        <v>bag</v>
      </c>
      <c r="Q102" s="15" t="n">
        <f aca="false">IFERROR(INDEX(Rates!$D$5:$D$84,MATCH(M102,Rates!$A$5:$A$84,0)),0)</f>
        <v>0.03</v>
      </c>
      <c r="R102" s="12" t="n">
        <f aca="false">O102*(1+Q102)</f>
        <v>144.42248</v>
      </c>
      <c r="S102" s="16" t="n">
        <f aca="false">IFERROR(INDEX(Rates!$E$5:$E$84,MATCH(M102,Rates!$A$5:$A$84,0)),0)</f>
        <v>1560</v>
      </c>
      <c r="T102" s="7" t="n">
        <f aca="false">R102*S102</f>
        <v>225299.0688</v>
      </c>
      <c r="U102" s="17" t="str">
        <f aca="false">IF(M102="BRK",R102/2000,IF(OR(M102="SNDC",M102="SNDM",M102="CRS",M102="KHG",M102="EARTH"),R102/100,""))</f>
        <v/>
      </c>
    </row>
    <row r="103" customFormat="false" ht="15" hidden="false" customHeight="false" outlineLevel="0" collapsed="false">
      <c r="A103" s="6" t="s">
        <v>490</v>
      </c>
      <c r="B103" s="6" t="s">
        <v>491</v>
      </c>
      <c r="C103" s="6" t="s">
        <v>498</v>
      </c>
      <c r="D103" s="9"/>
      <c r="E103" s="9"/>
      <c r="F103" s="9"/>
      <c r="G103" s="9"/>
      <c r="H103" s="12"/>
      <c r="I103" s="6"/>
      <c r="J103" s="6" t="s">
        <v>503</v>
      </c>
      <c r="K103" s="6" t="s">
        <v>504</v>
      </c>
      <c r="L103" s="6"/>
      <c r="M103" s="6" t="s">
        <v>69</v>
      </c>
      <c r="N103" s="13" t="str">
        <f aca="false">IFERROR(INDEX(Rates!$B$5:$B$84,MATCH(M103,Rates!$A$5:$A$84,0)),"")</f>
        <v>Chenab sand (concrete, screed)</v>
      </c>
      <c r="O103" s="12" t="n">
        <v>350.5399</v>
      </c>
      <c r="P103" s="14" t="str">
        <f aca="false">IFERROR(INDEX(Rates!$C$5:$C$84,MATCH(M103,Rates!$A$5:$A$84,0)),"")</f>
        <v>cft</v>
      </c>
      <c r="Q103" s="15" t="n">
        <f aca="false">IFERROR(INDEX(Rates!$D$5:$D$84,MATCH(M103,Rates!$A$5:$A$84,0)),0)</f>
        <v>0.08</v>
      </c>
      <c r="R103" s="12" t="n">
        <f aca="false">O103*(1+Q103)</f>
        <v>378.583092</v>
      </c>
      <c r="S103" s="16" t="n">
        <f aca="false">IFERROR(INDEX(Rates!$E$5:$E$84,MATCH(M103,Rates!$A$5:$A$84,0)),0)</f>
        <v>65</v>
      </c>
      <c r="T103" s="7" t="n">
        <f aca="false">R103*S103</f>
        <v>24607.90098</v>
      </c>
      <c r="U103" s="17" t="n">
        <f aca="false">IF(M103="BRK",R103/2000,IF(OR(M103="SNDC",M103="SNDM",M103="CRS",M103="KHG",M103="EARTH"),R103/100,""))</f>
        <v>3.78583092</v>
      </c>
    </row>
    <row r="104" customFormat="false" ht="15" hidden="false" customHeight="false" outlineLevel="0" collapsed="false">
      <c r="A104" s="6" t="s">
        <v>490</v>
      </c>
      <c r="B104" s="6" t="s">
        <v>491</v>
      </c>
      <c r="C104" s="6" t="s">
        <v>498</v>
      </c>
      <c r="D104" s="9"/>
      <c r="E104" s="9"/>
      <c r="F104" s="9"/>
      <c r="G104" s="9"/>
      <c r="H104" s="12"/>
      <c r="I104" s="6"/>
      <c r="J104" s="6" t="s">
        <v>503</v>
      </c>
      <c r="K104" s="6" t="s">
        <v>504</v>
      </c>
      <c r="L104" s="6"/>
      <c r="M104" s="6" t="s">
        <v>79</v>
      </c>
      <c r="N104" s="13" t="str">
        <f aca="false">IFERROR(INDEX(Rates!$B$5:$B$84,MATCH(M104,Rates!$A$5:$A$84,0)),"")</f>
        <v>Crush ¾" down, Sargodha (bajri)</v>
      </c>
      <c r="O104" s="12" t="n">
        <v>701.0798</v>
      </c>
      <c r="P104" s="14" t="str">
        <f aca="false">IFERROR(INDEX(Rates!$C$5:$C$84,MATCH(M104,Rates!$A$5:$A$84,0)),"")</f>
        <v>cft</v>
      </c>
      <c r="Q104" s="15" t="n">
        <f aca="false">IFERROR(INDEX(Rates!$D$5:$D$84,MATCH(M104,Rates!$A$5:$A$84,0)),0)</f>
        <v>0.05</v>
      </c>
      <c r="R104" s="12" t="n">
        <f aca="false">O104*(1+Q104)</f>
        <v>736.13379</v>
      </c>
      <c r="S104" s="16" t="n">
        <f aca="false">IFERROR(INDEX(Rates!$E$5:$E$84,MATCH(M104,Rates!$A$5:$A$84,0)),0)</f>
        <v>110</v>
      </c>
      <c r="T104" s="7" t="n">
        <f aca="false">R104*S104</f>
        <v>80974.7169</v>
      </c>
      <c r="U104" s="17" t="n">
        <f aca="false">IF(M104="BRK",R104/2000,IF(OR(M104="SNDC",M104="SNDM",M104="CRS",M104="KHG",M104="EARTH"),R104/100,""))</f>
        <v>7.3613379</v>
      </c>
    </row>
    <row r="105" customFormat="false" ht="22.35" hidden="false" customHeight="false" outlineLevel="0" collapsed="false">
      <c r="A105" s="6" t="s">
        <v>490</v>
      </c>
      <c r="B105" s="6" t="s">
        <v>491</v>
      </c>
      <c r="C105" s="6" t="s">
        <v>505</v>
      </c>
      <c r="D105" s="9" t="s">
        <v>506</v>
      </c>
      <c r="E105" s="9" t="s">
        <v>507</v>
      </c>
      <c r="F105" s="9" t="s">
        <v>508</v>
      </c>
      <c r="G105" s="9" t="s">
        <v>509</v>
      </c>
      <c r="H105" s="12" t="n">
        <v>756.571</v>
      </c>
      <c r="I105" s="6" t="s">
        <v>71</v>
      </c>
      <c r="J105" s="6" t="s">
        <v>503</v>
      </c>
      <c r="K105" s="6" t="s">
        <v>504</v>
      </c>
      <c r="L105" s="6"/>
      <c r="M105" s="6" t="s">
        <v>37</v>
      </c>
      <c r="N105" s="13" t="str">
        <f aca="false">IFERROR(INDEX(Rates!$B$5:$B$84,MATCH(M105,Rates!$A$5:$A$84,0)),"")</f>
        <v>Cement OPC, 50 kg bag (Lucky / Bestway / Maple Leaf)</v>
      </c>
      <c r="O105" s="12" t="n">
        <v>135.7504</v>
      </c>
      <c r="P105" s="14" t="str">
        <f aca="false">IFERROR(INDEX(Rates!$C$5:$C$84,MATCH(M105,Rates!$A$5:$A$84,0)),"")</f>
        <v>bag</v>
      </c>
      <c r="Q105" s="15" t="n">
        <f aca="false">IFERROR(INDEX(Rates!$D$5:$D$84,MATCH(M105,Rates!$A$5:$A$84,0)),0)</f>
        <v>0.03</v>
      </c>
      <c r="R105" s="12" t="n">
        <f aca="false">O105*(1+Q105)</f>
        <v>139.822912</v>
      </c>
      <c r="S105" s="16" t="n">
        <f aca="false">IFERROR(INDEX(Rates!$E$5:$E$84,MATCH(M105,Rates!$A$5:$A$84,0)),0)</f>
        <v>1560</v>
      </c>
      <c r="T105" s="7" t="n">
        <f aca="false">R105*S105</f>
        <v>218123.74272</v>
      </c>
      <c r="U105" s="17" t="str">
        <f aca="false">IF(M105="BRK",R105/2000,IF(OR(M105="SNDC",M105="SNDM",M105="CRS",M105="KHG",M105="EARTH"),R105/100,""))</f>
        <v/>
      </c>
    </row>
    <row r="106" customFormat="false" ht="15" hidden="false" customHeight="false" outlineLevel="0" collapsed="false">
      <c r="A106" s="6" t="s">
        <v>490</v>
      </c>
      <c r="B106" s="6" t="s">
        <v>491</v>
      </c>
      <c r="C106" s="6" t="s">
        <v>505</v>
      </c>
      <c r="D106" s="9"/>
      <c r="E106" s="9"/>
      <c r="F106" s="9"/>
      <c r="G106" s="9"/>
      <c r="H106" s="12"/>
      <c r="I106" s="6"/>
      <c r="J106" s="6" t="s">
        <v>503</v>
      </c>
      <c r="K106" s="6" t="s">
        <v>504</v>
      </c>
      <c r="L106" s="6"/>
      <c r="M106" s="6" t="s">
        <v>69</v>
      </c>
      <c r="N106" s="13" t="str">
        <f aca="false">IFERROR(INDEX(Rates!$B$5:$B$84,MATCH(M106,Rates!$A$5:$A$84,0)),"")</f>
        <v>Chenab sand (concrete, screed)</v>
      </c>
      <c r="O106" s="12" t="n">
        <v>339.3761</v>
      </c>
      <c r="P106" s="14" t="str">
        <f aca="false">IFERROR(INDEX(Rates!$C$5:$C$84,MATCH(M106,Rates!$A$5:$A$84,0)),"")</f>
        <v>cft</v>
      </c>
      <c r="Q106" s="15" t="n">
        <f aca="false">IFERROR(INDEX(Rates!$D$5:$D$84,MATCH(M106,Rates!$A$5:$A$84,0)),0)</f>
        <v>0.08</v>
      </c>
      <c r="R106" s="12" t="n">
        <f aca="false">O106*(1+Q106)</f>
        <v>366.526188</v>
      </c>
      <c r="S106" s="16" t="n">
        <f aca="false">IFERROR(INDEX(Rates!$E$5:$E$84,MATCH(M106,Rates!$A$5:$A$84,0)),0)</f>
        <v>65</v>
      </c>
      <c r="T106" s="7" t="n">
        <f aca="false">R106*S106</f>
        <v>23824.20222</v>
      </c>
      <c r="U106" s="17" t="n">
        <f aca="false">IF(M106="BRK",R106/2000,IF(OR(M106="SNDC",M106="SNDM",M106="CRS",M106="KHG",M106="EARTH"),R106/100,""))</f>
        <v>3.66526188</v>
      </c>
    </row>
    <row r="107" customFormat="false" ht="15" hidden="false" customHeight="false" outlineLevel="0" collapsed="false">
      <c r="A107" s="6" t="s">
        <v>490</v>
      </c>
      <c r="B107" s="6" t="s">
        <v>491</v>
      </c>
      <c r="C107" s="6" t="s">
        <v>505</v>
      </c>
      <c r="D107" s="9"/>
      <c r="E107" s="9"/>
      <c r="F107" s="9"/>
      <c r="G107" s="9"/>
      <c r="H107" s="12"/>
      <c r="I107" s="6"/>
      <c r="J107" s="6" t="s">
        <v>503</v>
      </c>
      <c r="K107" s="6" t="s">
        <v>504</v>
      </c>
      <c r="L107" s="6"/>
      <c r="M107" s="6" t="s">
        <v>79</v>
      </c>
      <c r="N107" s="13" t="str">
        <f aca="false">IFERROR(INDEX(Rates!$B$5:$B$84,MATCH(M107,Rates!$A$5:$A$84,0)),"")</f>
        <v>Crush ¾" down, Sargodha (bajri)</v>
      </c>
      <c r="O107" s="12" t="n">
        <v>678.7521</v>
      </c>
      <c r="P107" s="14" t="str">
        <f aca="false">IFERROR(INDEX(Rates!$C$5:$C$84,MATCH(M107,Rates!$A$5:$A$84,0)),"")</f>
        <v>cft</v>
      </c>
      <c r="Q107" s="15" t="n">
        <f aca="false">IFERROR(INDEX(Rates!$D$5:$D$84,MATCH(M107,Rates!$A$5:$A$84,0)),0)</f>
        <v>0.05</v>
      </c>
      <c r="R107" s="12" t="n">
        <f aca="false">O107*(1+Q107)</f>
        <v>712.689705</v>
      </c>
      <c r="S107" s="16" t="n">
        <f aca="false">IFERROR(INDEX(Rates!$E$5:$E$84,MATCH(M107,Rates!$A$5:$A$84,0)),0)</f>
        <v>110</v>
      </c>
      <c r="T107" s="7" t="n">
        <f aca="false">R107*S107</f>
        <v>78395.86755</v>
      </c>
      <c r="U107" s="17" t="n">
        <f aca="false">IF(M107="BRK",R107/2000,IF(OR(M107="SNDC",M107="SNDM",M107="CRS",M107="KHG",M107="EARTH"),R107/100,""))</f>
        <v>7.12689705</v>
      </c>
    </row>
    <row r="108" customFormat="false" ht="22.35" hidden="false" customHeight="false" outlineLevel="0" collapsed="false">
      <c r="A108" s="6" t="s">
        <v>490</v>
      </c>
      <c r="B108" s="6" t="s">
        <v>491</v>
      </c>
      <c r="C108" s="6" t="s">
        <v>510</v>
      </c>
      <c r="D108" s="9" t="s">
        <v>481</v>
      </c>
      <c r="E108" s="9" t="s">
        <v>511</v>
      </c>
      <c r="F108" s="9" t="s">
        <v>512</v>
      </c>
      <c r="G108" s="9" t="s">
        <v>513</v>
      </c>
      <c r="H108" s="12" t="n">
        <v>161.883</v>
      </c>
      <c r="I108" s="6" t="s">
        <v>71</v>
      </c>
      <c r="J108" s="6" t="s">
        <v>503</v>
      </c>
      <c r="K108" s="6" t="s">
        <v>504</v>
      </c>
      <c r="L108" s="6"/>
      <c r="M108" s="6" t="s">
        <v>37</v>
      </c>
      <c r="N108" s="13" t="str">
        <f aca="false">IFERROR(INDEX(Rates!$B$5:$B$84,MATCH(M108,Rates!$A$5:$A$84,0)),"")</f>
        <v>Cement OPC, 50 kg bag (Lucky / Bestway / Maple Leaf)</v>
      </c>
      <c r="O108" s="12" t="n">
        <v>29.0465</v>
      </c>
      <c r="P108" s="14" t="str">
        <f aca="false">IFERROR(INDEX(Rates!$C$5:$C$84,MATCH(M108,Rates!$A$5:$A$84,0)),"")</f>
        <v>bag</v>
      </c>
      <c r="Q108" s="15" t="n">
        <f aca="false">IFERROR(INDEX(Rates!$D$5:$D$84,MATCH(M108,Rates!$A$5:$A$84,0)),0)</f>
        <v>0.03</v>
      </c>
      <c r="R108" s="12" t="n">
        <f aca="false">O108*(1+Q108)</f>
        <v>29.917895</v>
      </c>
      <c r="S108" s="16" t="n">
        <f aca="false">IFERROR(INDEX(Rates!$E$5:$E$84,MATCH(M108,Rates!$A$5:$A$84,0)),0)</f>
        <v>1560</v>
      </c>
      <c r="T108" s="7" t="n">
        <f aca="false">R108*S108</f>
        <v>46671.9162</v>
      </c>
      <c r="U108" s="17" t="str">
        <f aca="false">IF(M108="BRK",R108/2000,IF(OR(M108="SNDC",M108="SNDM",M108="CRS",M108="KHG",M108="EARTH"),R108/100,""))</f>
        <v/>
      </c>
    </row>
    <row r="109" customFormat="false" ht="15" hidden="false" customHeight="false" outlineLevel="0" collapsed="false">
      <c r="A109" s="6" t="s">
        <v>490</v>
      </c>
      <c r="B109" s="6" t="s">
        <v>491</v>
      </c>
      <c r="C109" s="6" t="s">
        <v>510</v>
      </c>
      <c r="D109" s="9"/>
      <c r="E109" s="9"/>
      <c r="F109" s="9"/>
      <c r="G109" s="9"/>
      <c r="H109" s="12"/>
      <c r="I109" s="6"/>
      <c r="J109" s="6" t="s">
        <v>503</v>
      </c>
      <c r="K109" s="6" t="s">
        <v>504</v>
      </c>
      <c r="L109" s="6"/>
      <c r="M109" s="6" t="s">
        <v>69</v>
      </c>
      <c r="N109" s="13" t="str">
        <f aca="false">IFERROR(INDEX(Rates!$B$5:$B$84,MATCH(M109,Rates!$A$5:$A$84,0)),"")</f>
        <v>Chenab sand (concrete, screed)</v>
      </c>
      <c r="O109" s="12" t="n">
        <v>72.6162</v>
      </c>
      <c r="P109" s="14" t="str">
        <f aca="false">IFERROR(INDEX(Rates!$C$5:$C$84,MATCH(M109,Rates!$A$5:$A$84,0)),"")</f>
        <v>cft</v>
      </c>
      <c r="Q109" s="15" t="n">
        <f aca="false">IFERROR(INDEX(Rates!$D$5:$D$84,MATCH(M109,Rates!$A$5:$A$84,0)),0)</f>
        <v>0.08</v>
      </c>
      <c r="R109" s="12" t="n">
        <f aca="false">O109*(1+Q109)</f>
        <v>78.425496</v>
      </c>
      <c r="S109" s="16" t="n">
        <f aca="false">IFERROR(INDEX(Rates!$E$5:$E$84,MATCH(M109,Rates!$A$5:$A$84,0)),0)</f>
        <v>65</v>
      </c>
      <c r="T109" s="7" t="n">
        <f aca="false">R109*S109</f>
        <v>5097.65724</v>
      </c>
      <c r="U109" s="17" t="n">
        <f aca="false">IF(M109="BRK",R109/2000,IF(OR(M109="SNDC",M109="SNDM",M109="CRS",M109="KHG",M109="EARTH"),R109/100,""))</f>
        <v>0.78425496</v>
      </c>
    </row>
    <row r="110" customFormat="false" ht="15" hidden="false" customHeight="false" outlineLevel="0" collapsed="false">
      <c r="A110" s="6" t="s">
        <v>490</v>
      </c>
      <c r="B110" s="6" t="s">
        <v>491</v>
      </c>
      <c r="C110" s="6" t="s">
        <v>510</v>
      </c>
      <c r="D110" s="9"/>
      <c r="E110" s="9"/>
      <c r="F110" s="9"/>
      <c r="G110" s="9"/>
      <c r="H110" s="12"/>
      <c r="I110" s="6"/>
      <c r="J110" s="6" t="s">
        <v>503</v>
      </c>
      <c r="K110" s="6" t="s">
        <v>504</v>
      </c>
      <c r="L110" s="6"/>
      <c r="M110" s="6" t="s">
        <v>79</v>
      </c>
      <c r="N110" s="13" t="str">
        <f aca="false">IFERROR(INDEX(Rates!$B$5:$B$84,MATCH(M110,Rates!$A$5:$A$84,0)),"")</f>
        <v>Crush ¾" down, Sargodha (bajri)</v>
      </c>
      <c r="O110" s="12" t="n">
        <v>145.2325</v>
      </c>
      <c r="P110" s="14" t="str">
        <f aca="false">IFERROR(INDEX(Rates!$C$5:$C$84,MATCH(M110,Rates!$A$5:$A$84,0)),"")</f>
        <v>cft</v>
      </c>
      <c r="Q110" s="15" t="n">
        <f aca="false">IFERROR(INDEX(Rates!$D$5:$D$84,MATCH(M110,Rates!$A$5:$A$84,0)),0)</f>
        <v>0.05</v>
      </c>
      <c r="R110" s="12" t="n">
        <f aca="false">O110*(1+Q110)</f>
        <v>152.494125</v>
      </c>
      <c r="S110" s="16" t="n">
        <f aca="false">IFERROR(INDEX(Rates!$E$5:$E$84,MATCH(M110,Rates!$A$5:$A$84,0)),0)</f>
        <v>110</v>
      </c>
      <c r="T110" s="7" t="n">
        <f aca="false">R110*S110</f>
        <v>16774.35375</v>
      </c>
      <c r="U110" s="17" t="n">
        <f aca="false">IF(M110="BRK",R110/2000,IF(OR(M110="SNDC",M110="SNDM",M110="CRS",M110="KHG",M110="EARTH"),R110/100,""))</f>
        <v>1.52494125</v>
      </c>
    </row>
    <row r="111" customFormat="false" ht="43.25" hidden="false" customHeight="false" outlineLevel="0" collapsed="false">
      <c r="A111" s="6" t="s">
        <v>490</v>
      </c>
      <c r="B111" s="6" t="s">
        <v>491</v>
      </c>
      <c r="C111" s="6" t="s">
        <v>514</v>
      </c>
      <c r="D111" s="9" t="s">
        <v>499</v>
      </c>
      <c r="E111" s="9" t="s">
        <v>515</v>
      </c>
      <c r="F111" s="9" t="s">
        <v>516</v>
      </c>
      <c r="G111" s="9" t="s">
        <v>517</v>
      </c>
      <c r="H111" s="12" t="n">
        <v>27.24</v>
      </c>
      <c r="I111" s="6" t="s">
        <v>71</v>
      </c>
      <c r="J111" s="6" t="s">
        <v>503</v>
      </c>
      <c r="K111" s="6" t="s">
        <v>518</v>
      </c>
      <c r="L111" s="6"/>
      <c r="M111" s="6" t="s">
        <v>37</v>
      </c>
      <c r="N111" s="13" t="str">
        <f aca="false">IFERROR(INDEX(Rates!$B$5:$B$84,MATCH(M111,Rates!$A$5:$A$84,0)),"")</f>
        <v>Cement OPC, 50 kg bag (Lucky / Bestway / Maple Leaf)</v>
      </c>
      <c r="O111" s="12" t="n">
        <v>4.8876</v>
      </c>
      <c r="P111" s="14" t="str">
        <f aca="false">IFERROR(INDEX(Rates!$C$5:$C$84,MATCH(M111,Rates!$A$5:$A$84,0)),"")</f>
        <v>bag</v>
      </c>
      <c r="Q111" s="15" t="n">
        <f aca="false">IFERROR(INDEX(Rates!$D$5:$D$84,MATCH(M111,Rates!$A$5:$A$84,0)),0)</f>
        <v>0.03</v>
      </c>
      <c r="R111" s="12" t="n">
        <f aca="false">O111*(1+Q111)</f>
        <v>5.034228</v>
      </c>
      <c r="S111" s="16" t="n">
        <f aca="false">IFERROR(INDEX(Rates!$E$5:$E$84,MATCH(M111,Rates!$A$5:$A$84,0)),0)</f>
        <v>1560</v>
      </c>
      <c r="T111" s="7" t="n">
        <f aca="false">R111*S111</f>
        <v>7853.39568</v>
      </c>
      <c r="U111" s="17" t="str">
        <f aca="false">IF(M111="BRK",R111/2000,IF(OR(M111="SNDC",M111="SNDM",M111="CRS",M111="KHG",M111="EARTH"),R111/100,""))</f>
        <v/>
      </c>
    </row>
    <row r="112" customFormat="false" ht="15" hidden="false" customHeight="false" outlineLevel="0" collapsed="false">
      <c r="A112" s="6" t="s">
        <v>490</v>
      </c>
      <c r="B112" s="6" t="s">
        <v>491</v>
      </c>
      <c r="C112" s="6" t="s">
        <v>514</v>
      </c>
      <c r="D112" s="9"/>
      <c r="E112" s="9"/>
      <c r="F112" s="9"/>
      <c r="G112" s="9"/>
      <c r="H112" s="12"/>
      <c r="I112" s="6"/>
      <c r="J112" s="6" t="s">
        <v>503</v>
      </c>
      <c r="K112" s="6" t="s">
        <v>518</v>
      </c>
      <c r="L112" s="6"/>
      <c r="M112" s="6" t="s">
        <v>69</v>
      </c>
      <c r="N112" s="13" t="str">
        <f aca="false">IFERROR(INDEX(Rates!$B$5:$B$84,MATCH(M112,Rates!$A$5:$A$84,0)),"")</f>
        <v>Chenab sand (concrete, screed)</v>
      </c>
      <c r="O112" s="12" t="n">
        <v>12.2191</v>
      </c>
      <c r="P112" s="14" t="str">
        <f aca="false">IFERROR(INDEX(Rates!$C$5:$C$84,MATCH(M112,Rates!$A$5:$A$84,0)),"")</f>
        <v>cft</v>
      </c>
      <c r="Q112" s="15" t="n">
        <f aca="false">IFERROR(INDEX(Rates!$D$5:$D$84,MATCH(M112,Rates!$A$5:$A$84,0)),0)</f>
        <v>0.08</v>
      </c>
      <c r="R112" s="12" t="n">
        <f aca="false">O112*(1+Q112)</f>
        <v>13.196628</v>
      </c>
      <c r="S112" s="16" t="n">
        <f aca="false">IFERROR(INDEX(Rates!$E$5:$E$84,MATCH(M112,Rates!$A$5:$A$84,0)),0)</f>
        <v>65</v>
      </c>
      <c r="T112" s="7" t="n">
        <f aca="false">R112*S112</f>
        <v>857.78082</v>
      </c>
      <c r="U112" s="17" t="n">
        <f aca="false">IF(M112="BRK",R112/2000,IF(OR(M112="SNDC",M112="SNDM",M112="CRS",M112="KHG",M112="EARTH"),R112/100,""))</f>
        <v>0.13196628</v>
      </c>
    </row>
    <row r="113" customFormat="false" ht="15" hidden="false" customHeight="false" outlineLevel="0" collapsed="false">
      <c r="A113" s="6" t="s">
        <v>490</v>
      </c>
      <c r="B113" s="6" t="s">
        <v>491</v>
      </c>
      <c r="C113" s="6" t="s">
        <v>514</v>
      </c>
      <c r="D113" s="9"/>
      <c r="E113" s="9"/>
      <c r="F113" s="9"/>
      <c r="G113" s="9"/>
      <c r="H113" s="12"/>
      <c r="I113" s="6"/>
      <c r="J113" s="6" t="s">
        <v>503</v>
      </c>
      <c r="K113" s="6" t="s">
        <v>518</v>
      </c>
      <c r="L113" s="6"/>
      <c r="M113" s="6" t="s">
        <v>79</v>
      </c>
      <c r="N113" s="13" t="str">
        <f aca="false">IFERROR(INDEX(Rates!$B$5:$B$84,MATCH(M113,Rates!$A$5:$A$84,0)),"")</f>
        <v>Crush ¾" down, Sargodha (bajri)</v>
      </c>
      <c r="O113" s="12" t="n">
        <v>24.4382</v>
      </c>
      <c r="P113" s="14" t="str">
        <f aca="false">IFERROR(INDEX(Rates!$C$5:$C$84,MATCH(M113,Rates!$A$5:$A$84,0)),"")</f>
        <v>cft</v>
      </c>
      <c r="Q113" s="15" t="n">
        <f aca="false">IFERROR(INDEX(Rates!$D$5:$D$84,MATCH(M113,Rates!$A$5:$A$84,0)),0)</f>
        <v>0.05</v>
      </c>
      <c r="R113" s="12" t="n">
        <f aca="false">O113*(1+Q113)</f>
        <v>25.66011</v>
      </c>
      <c r="S113" s="16" t="n">
        <f aca="false">IFERROR(INDEX(Rates!$E$5:$E$84,MATCH(M113,Rates!$A$5:$A$84,0)),0)</f>
        <v>110</v>
      </c>
      <c r="T113" s="7" t="n">
        <f aca="false">R113*S113</f>
        <v>2822.6121</v>
      </c>
      <c r="U113" s="17" t="n">
        <f aca="false">IF(M113="BRK",R113/2000,IF(OR(M113="SNDC",M113="SNDM",M113="CRS",M113="KHG",M113="EARTH"),R113/100,""))</f>
        <v>0.2566011</v>
      </c>
    </row>
    <row r="114" customFormat="false" ht="15" hidden="false" customHeight="false" outlineLevel="0" collapsed="false">
      <c r="A114" s="6" t="s">
        <v>490</v>
      </c>
      <c r="B114" s="6" t="s">
        <v>491</v>
      </c>
      <c r="C114" s="6" t="s">
        <v>514</v>
      </c>
      <c r="D114" s="9"/>
      <c r="E114" s="9"/>
      <c r="F114" s="9"/>
      <c r="G114" s="9"/>
      <c r="H114" s="12"/>
      <c r="I114" s="6"/>
      <c r="J114" s="6" t="s">
        <v>503</v>
      </c>
      <c r="K114" s="6" t="s">
        <v>518</v>
      </c>
      <c r="L114" s="6"/>
      <c r="M114" s="6" t="s">
        <v>62</v>
      </c>
      <c r="N114" s="13" t="str">
        <f aca="false">IFERROR(INDEX(Rates!$B$5:$B$84,MATCH(M114,Rates!$A$5:$A$84,0)),"")</f>
        <v>Steel Grade 60 deformed, #6 (20 mm)</v>
      </c>
      <c r="O114" s="12" t="n">
        <v>203.6153</v>
      </c>
      <c r="P114" s="14" t="str">
        <f aca="false">IFERROR(INDEX(Rates!$C$5:$C$84,MATCH(M114,Rates!$A$5:$A$84,0)),"")</f>
        <v>kg</v>
      </c>
      <c r="Q114" s="15" t="n">
        <f aca="false">IFERROR(INDEX(Rates!$D$5:$D$84,MATCH(M114,Rates!$A$5:$A$84,0)),0)</f>
        <v>0.04</v>
      </c>
      <c r="R114" s="12" t="n">
        <f aca="false">O114*(1+Q114)</f>
        <v>211.759912</v>
      </c>
      <c r="S114" s="16" t="n">
        <f aca="false">IFERROR(INDEX(Rates!$E$5:$E$84,MATCH(M114,Rates!$A$5:$A$84,0)),0)</f>
        <v>262</v>
      </c>
      <c r="T114" s="7" t="n">
        <f aca="false">R114*S114</f>
        <v>55481.096944</v>
      </c>
      <c r="U114" s="17" t="str">
        <f aca="false">IF(M114="BRK",R114/2000,IF(OR(M114="SNDC",M114="SNDM",M114="CRS",M114="KHG",M114="EARTH"),R114/100,""))</f>
        <v/>
      </c>
    </row>
    <row r="115" customFormat="false" ht="15" hidden="false" customHeight="false" outlineLevel="0" collapsed="false">
      <c r="A115" s="6" t="s">
        <v>490</v>
      </c>
      <c r="B115" s="6" t="s">
        <v>491</v>
      </c>
      <c r="C115" s="6" t="s">
        <v>514</v>
      </c>
      <c r="D115" s="9"/>
      <c r="E115" s="9"/>
      <c r="F115" s="9"/>
      <c r="G115" s="9"/>
      <c r="H115" s="12"/>
      <c r="I115" s="6"/>
      <c r="J115" s="6" t="s">
        <v>503</v>
      </c>
      <c r="K115" s="6" t="s">
        <v>518</v>
      </c>
      <c r="L115" s="6"/>
      <c r="M115" s="6" t="s">
        <v>59</v>
      </c>
      <c r="N115" s="13" t="str">
        <f aca="false">IFERROR(INDEX(Rates!$B$5:$B$84,MATCH(M115,Rates!$A$5:$A$84,0)),"")</f>
        <v>Steel Grade 60 deformed, #4 (12 mm)</v>
      </c>
      <c r="O115" s="12" t="n">
        <v>90.5559</v>
      </c>
      <c r="P115" s="14" t="str">
        <f aca="false">IFERROR(INDEX(Rates!$C$5:$C$84,MATCH(M115,Rates!$A$5:$A$84,0)),"")</f>
        <v>kg</v>
      </c>
      <c r="Q115" s="15" t="n">
        <f aca="false">IFERROR(INDEX(Rates!$D$5:$D$84,MATCH(M115,Rates!$A$5:$A$84,0)),0)</f>
        <v>0.04</v>
      </c>
      <c r="R115" s="12" t="n">
        <f aca="false">O115*(1+Q115)</f>
        <v>94.178136</v>
      </c>
      <c r="S115" s="16" t="n">
        <f aca="false">IFERROR(INDEX(Rates!$E$5:$E$84,MATCH(M115,Rates!$A$5:$A$84,0)),0)</f>
        <v>262</v>
      </c>
      <c r="T115" s="7" t="n">
        <f aca="false">R115*S115</f>
        <v>24674.671632</v>
      </c>
      <c r="U115" s="17" t="str">
        <f aca="false">IF(M115="BRK",R115/2000,IF(OR(M115="SNDC",M115="SNDM",M115="CRS",M115="KHG",M115="EARTH"),R115/100,""))</f>
        <v/>
      </c>
    </row>
    <row r="116" customFormat="false" ht="22.35" hidden="false" customHeight="false" outlineLevel="0" collapsed="false">
      <c r="A116" s="6" t="s">
        <v>490</v>
      </c>
      <c r="B116" s="6" t="s">
        <v>491</v>
      </c>
      <c r="C116" s="6" t="s">
        <v>514</v>
      </c>
      <c r="D116" s="9"/>
      <c r="E116" s="9"/>
      <c r="F116" s="9"/>
      <c r="G116" s="9"/>
      <c r="H116" s="12"/>
      <c r="I116" s="6"/>
      <c r="J116" s="6" t="s">
        <v>503</v>
      </c>
      <c r="K116" s="6" t="s">
        <v>518</v>
      </c>
      <c r="L116" s="6"/>
      <c r="M116" s="6" t="s">
        <v>56</v>
      </c>
      <c r="N116" s="13" t="str">
        <f aca="false">IFERROR(INDEX(Rates!$B$5:$B$84,MATCH(M116,Rates!$A$5:$A$84,0)),"")</f>
        <v>Steel Grade 60 deformed, #3 (10 mm) (Amreli / Mughal / FF Steel)</v>
      </c>
      <c r="O116" s="12" t="n">
        <v>79.4329</v>
      </c>
      <c r="P116" s="14" t="str">
        <f aca="false">IFERROR(INDEX(Rates!$C$5:$C$84,MATCH(M116,Rates!$A$5:$A$84,0)),"")</f>
        <v>kg</v>
      </c>
      <c r="Q116" s="15" t="n">
        <f aca="false">IFERROR(INDEX(Rates!$D$5:$D$84,MATCH(M116,Rates!$A$5:$A$84,0)),0)</f>
        <v>0.04</v>
      </c>
      <c r="R116" s="12" t="n">
        <f aca="false">O116*(1+Q116)</f>
        <v>82.610216</v>
      </c>
      <c r="S116" s="16" t="n">
        <f aca="false">IFERROR(INDEX(Rates!$E$5:$E$84,MATCH(M116,Rates!$A$5:$A$84,0)),0)</f>
        <v>262</v>
      </c>
      <c r="T116" s="7" t="n">
        <f aca="false">R116*S116</f>
        <v>21643.876592</v>
      </c>
      <c r="U116" s="17" t="str">
        <f aca="false">IF(M116="BRK",R116/2000,IF(OR(M116="SNDC",M116="SNDM",M116="CRS",M116="KHG",M116="EARTH"),R116/100,""))</f>
        <v/>
      </c>
    </row>
    <row r="117" customFormat="false" ht="43.25" hidden="false" customHeight="false" outlineLevel="0" collapsed="false">
      <c r="A117" s="6" t="s">
        <v>490</v>
      </c>
      <c r="B117" s="6" t="s">
        <v>491</v>
      </c>
      <c r="C117" s="6" t="s">
        <v>519</v>
      </c>
      <c r="D117" s="9" t="s">
        <v>506</v>
      </c>
      <c r="E117" s="9" t="s">
        <v>520</v>
      </c>
      <c r="F117" s="9" t="s">
        <v>521</v>
      </c>
      <c r="G117" s="9" t="s">
        <v>522</v>
      </c>
      <c r="H117" s="12" t="n">
        <v>5.167</v>
      </c>
      <c r="I117" s="6" t="s">
        <v>71</v>
      </c>
      <c r="J117" s="6" t="s">
        <v>503</v>
      </c>
      <c r="K117" s="6" t="s">
        <v>518</v>
      </c>
      <c r="L117" s="6"/>
      <c r="M117" s="6" t="s">
        <v>37</v>
      </c>
      <c r="N117" s="13" t="str">
        <f aca="false">IFERROR(INDEX(Rates!$B$5:$B$84,MATCH(M117,Rates!$A$5:$A$84,0)),"")</f>
        <v>Cement OPC, 50 kg bag (Lucky / Bestway / Maple Leaf)</v>
      </c>
      <c r="O117" s="12" t="n">
        <v>0.927</v>
      </c>
      <c r="P117" s="14" t="str">
        <f aca="false">IFERROR(INDEX(Rates!$C$5:$C$84,MATCH(M117,Rates!$A$5:$A$84,0)),"")</f>
        <v>bag</v>
      </c>
      <c r="Q117" s="15" t="n">
        <f aca="false">IFERROR(INDEX(Rates!$D$5:$D$84,MATCH(M117,Rates!$A$5:$A$84,0)),0)</f>
        <v>0.03</v>
      </c>
      <c r="R117" s="12" t="n">
        <f aca="false">O117*(1+Q117)</f>
        <v>0.95481</v>
      </c>
      <c r="S117" s="16" t="n">
        <f aca="false">IFERROR(INDEX(Rates!$E$5:$E$84,MATCH(M117,Rates!$A$5:$A$84,0)),0)</f>
        <v>1560</v>
      </c>
      <c r="T117" s="7" t="n">
        <f aca="false">R117*S117</f>
        <v>1489.5036</v>
      </c>
      <c r="U117" s="17" t="str">
        <f aca="false">IF(M117="BRK",R117/2000,IF(OR(M117="SNDC",M117="SNDM",M117="CRS",M117="KHG",M117="EARTH"),R117/100,""))</f>
        <v/>
      </c>
    </row>
    <row r="118" customFormat="false" ht="15" hidden="false" customHeight="false" outlineLevel="0" collapsed="false">
      <c r="A118" s="6" t="s">
        <v>490</v>
      </c>
      <c r="B118" s="6" t="s">
        <v>491</v>
      </c>
      <c r="C118" s="6" t="s">
        <v>519</v>
      </c>
      <c r="D118" s="9"/>
      <c r="E118" s="9"/>
      <c r="F118" s="9"/>
      <c r="G118" s="9"/>
      <c r="H118" s="12"/>
      <c r="I118" s="6"/>
      <c r="J118" s="6" t="s">
        <v>503</v>
      </c>
      <c r="K118" s="6" t="s">
        <v>518</v>
      </c>
      <c r="L118" s="6"/>
      <c r="M118" s="6" t="s">
        <v>69</v>
      </c>
      <c r="N118" s="13" t="str">
        <f aca="false">IFERROR(INDEX(Rates!$B$5:$B$84,MATCH(M118,Rates!$A$5:$A$84,0)),"")</f>
        <v>Chenab sand (concrete, screed)</v>
      </c>
      <c r="O118" s="12" t="n">
        <v>2.3176</v>
      </c>
      <c r="P118" s="14" t="str">
        <f aca="false">IFERROR(INDEX(Rates!$C$5:$C$84,MATCH(M118,Rates!$A$5:$A$84,0)),"")</f>
        <v>cft</v>
      </c>
      <c r="Q118" s="15" t="n">
        <f aca="false">IFERROR(INDEX(Rates!$D$5:$D$84,MATCH(M118,Rates!$A$5:$A$84,0)),0)</f>
        <v>0.08</v>
      </c>
      <c r="R118" s="12" t="n">
        <f aca="false">O118*(1+Q118)</f>
        <v>2.503008</v>
      </c>
      <c r="S118" s="16" t="n">
        <f aca="false">IFERROR(INDEX(Rates!$E$5:$E$84,MATCH(M118,Rates!$A$5:$A$84,0)),0)</f>
        <v>65</v>
      </c>
      <c r="T118" s="7" t="n">
        <f aca="false">R118*S118</f>
        <v>162.69552</v>
      </c>
      <c r="U118" s="17" t="n">
        <f aca="false">IF(M118="BRK",R118/2000,IF(OR(M118="SNDC",M118="SNDM",M118="CRS",M118="KHG",M118="EARTH"),R118/100,""))</f>
        <v>0.02503008</v>
      </c>
    </row>
    <row r="119" customFormat="false" ht="15" hidden="false" customHeight="false" outlineLevel="0" collapsed="false">
      <c r="A119" s="6" t="s">
        <v>490</v>
      </c>
      <c r="B119" s="6" t="s">
        <v>491</v>
      </c>
      <c r="C119" s="6" t="s">
        <v>519</v>
      </c>
      <c r="D119" s="9"/>
      <c r="E119" s="9"/>
      <c r="F119" s="9"/>
      <c r="G119" s="9"/>
      <c r="H119" s="12"/>
      <c r="I119" s="6"/>
      <c r="J119" s="6" t="s">
        <v>503</v>
      </c>
      <c r="K119" s="6" t="s">
        <v>518</v>
      </c>
      <c r="L119" s="6"/>
      <c r="M119" s="6" t="s">
        <v>79</v>
      </c>
      <c r="N119" s="13" t="str">
        <f aca="false">IFERROR(INDEX(Rates!$B$5:$B$84,MATCH(M119,Rates!$A$5:$A$84,0)),"")</f>
        <v>Crush ¾" down, Sargodha (bajri)</v>
      </c>
      <c r="O119" s="12" t="n">
        <v>4.6352</v>
      </c>
      <c r="P119" s="14" t="str">
        <f aca="false">IFERROR(INDEX(Rates!$C$5:$C$84,MATCH(M119,Rates!$A$5:$A$84,0)),"")</f>
        <v>cft</v>
      </c>
      <c r="Q119" s="15" t="n">
        <f aca="false">IFERROR(INDEX(Rates!$D$5:$D$84,MATCH(M119,Rates!$A$5:$A$84,0)),0)</f>
        <v>0.05</v>
      </c>
      <c r="R119" s="12" t="n">
        <f aca="false">O119*(1+Q119)</f>
        <v>4.86696</v>
      </c>
      <c r="S119" s="16" t="n">
        <f aca="false">IFERROR(INDEX(Rates!$E$5:$E$84,MATCH(M119,Rates!$A$5:$A$84,0)),0)</f>
        <v>110</v>
      </c>
      <c r="T119" s="7" t="n">
        <f aca="false">R119*S119</f>
        <v>535.3656</v>
      </c>
      <c r="U119" s="17" t="n">
        <f aca="false">IF(M119="BRK",R119/2000,IF(OR(M119="SNDC",M119="SNDM",M119="CRS",M119="KHG",M119="EARTH"),R119/100,""))</f>
        <v>0.0486696</v>
      </c>
    </row>
    <row r="120" customFormat="false" ht="15" hidden="false" customHeight="false" outlineLevel="0" collapsed="false">
      <c r="A120" s="6" t="s">
        <v>490</v>
      </c>
      <c r="B120" s="6" t="s">
        <v>491</v>
      </c>
      <c r="C120" s="6" t="s">
        <v>519</v>
      </c>
      <c r="D120" s="9"/>
      <c r="E120" s="9"/>
      <c r="F120" s="9"/>
      <c r="G120" s="9"/>
      <c r="H120" s="12"/>
      <c r="I120" s="6"/>
      <c r="J120" s="6" t="s">
        <v>503</v>
      </c>
      <c r="K120" s="6" t="s">
        <v>518</v>
      </c>
      <c r="L120" s="6"/>
      <c r="M120" s="6" t="s">
        <v>62</v>
      </c>
      <c r="N120" s="13" t="str">
        <f aca="false">IFERROR(INDEX(Rates!$B$5:$B$84,MATCH(M120,Rates!$A$5:$A$84,0)),"")</f>
        <v>Steel Grade 60 deformed, #6 (20 mm)</v>
      </c>
      <c r="O120" s="12" t="n">
        <v>38.9463</v>
      </c>
      <c r="P120" s="14" t="str">
        <f aca="false">IFERROR(INDEX(Rates!$C$5:$C$84,MATCH(M120,Rates!$A$5:$A$84,0)),"")</f>
        <v>kg</v>
      </c>
      <c r="Q120" s="15" t="n">
        <f aca="false">IFERROR(INDEX(Rates!$D$5:$D$84,MATCH(M120,Rates!$A$5:$A$84,0)),0)</f>
        <v>0.04</v>
      </c>
      <c r="R120" s="12" t="n">
        <f aca="false">O120*(1+Q120)</f>
        <v>40.504152</v>
      </c>
      <c r="S120" s="16" t="n">
        <f aca="false">IFERROR(INDEX(Rates!$E$5:$E$84,MATCH(M120,Rates!$A$5:$A$84,0)),0)</f>
        <v>262</v>
      </c>
      <c r="T120" s="7" t="n">
        <f aca="false">R120*S120</f>
        <v>10612.087824</v>
      </c>
      <c r="U120" s="17" t="str">
        <f aca="false">IF(M120="BRK",R120/2000,IF(OR(M120="SNDC",M120="SNDM",M120="CRS",M120="KHG",M120="EARTH"),R120/100,""))</f>
        <v/>
      </c>
    </row>
    <row r="121" customFormat="false" ht="15" hidden="false" customHeight="false" outlineLevel="0" collapsed="false">
      <c r="A121" s="6" t="s">
        <v>490</v>
      </c>
      <c r="B121" s="6" t="s">
        <v>491</v>
      </c>
      <c r="C121" s="6" t="s">
        <v>519</v>
      </c>
      <c r="D121" s="9"/>
      <c r="E121" s="9"/>
      <c r="F121" s="9"/>
      <c r="G121" s="9"/>
      <c r="H121" s="12"/>
      <c r="I121" s="6"/>
      <c r="J121" s="6" t="s">
        <v>503</v>
      </c>
      <c r="K121" s="6" t="s">
        <v>518</v>
      </c>
      <c r="L121" s="6"/>
      <c r="M121" s="6" t="s">
        <v>59</v>
      </c>
      <c r="N121" s="13" t="str">
        <f aca="false">IFERROR(INDEX(Rates!$B$5:$B$84,MATCH(M121,Rates!$A$5:$A$84,0)),"")</f>
        <v>Steel Grade 60 deformed, #4 (12 mm)</v>
      </c>
      <c r="O121" s="12" t="n">
        <v>17.321</v>
      </c>
      <c r="P121" s="14" t="str">
        <f aca="false">IFERROR(INDEX(Rates!$C$5:$C$84,MATCH(M121,Rates!$A$5:$A$84,0)),"")</f>
        <v>kg</v>
      </c>
      <c r="Q121" s="15" t="n">
        <f aca="false">IFERROR(INDEX(Rates!$D$5:$D$84,MATCH(M121,Rates!$A$5:$A$84,0)),0)</f>
        <v>0.04</v>
      </c>
      <c r="R121" s="12" t="n">
        <f aca="false">O121*(1+Q121)</f>
        <v>18.01384</v>
      </c>
      <c r="S121" s="16" t="n">
        <f aca="false">IFERROR(INDEX(Rates!$E$5:$E$84,MATCH(M121,Rates!$A$5:$A$84,0)),0)</f>
        <v>262</v>
      </c>
      <c r="T121" s="7" t="n">
        <f aca="false">R121*S121</f>
        <v>4719.62608</v>
      </c>
      <c r="U121" s="17" t="str">
        <f aca="false">IF(M121="BRK",R121/2000,IF(OR(M121="SNDC",M121="SNDM",M121="CRS",M121="KHG",M121="EARTH"),R121/100,""))</f>
        <v/>
      </c>
    </row>
    <row r="122" customFormat="false" ht="22.35" hidden="false" customHeight="false" outlineLevel="0" collapsed="false">
      <c r="A122" s="6" t="s">
        <v>490</v>
      </c>
      <c r="B122" s="6" t="s">
        <v>491</v>
      </c>
      <c r="C122" s="6" t="s">
        <v>519</v>
      </c>
      <c r="D122" s="9"/>
      <c r="E122" s="9"/>
      <c r="F122" s="9"/>
      <c r="G122" s="9"/>
      <c r="H122" s="12"/>
      <c r="I122" s="6"/>
      <c r="J122" s="6" t="s">
        <v>503</v>
      </c>
      <c r="K122" s="6" t="s">
        <v>518</v>
      </c>
      <c r="L122" s="6"/>
      <c r="M122" s="6" t="s">
        <v>56</v>
      </c>
      <c r="N122" s="13" t="str">
        <f aca="false">IFERROR(INDEX(Rates!$B$5:$B$84,MATCH(M122,Rates!$A$5:$A$84,0)),"")</f>
        <v>Steel Grade 60 deformed, #3 (10 mm) (Amreli / Mughal / FF Steel)</v>
      </c>
      <c r="O122" s="12" t="n">
        <v>15.0945</v>
      </c>
      <c r="P122" s="14" t="str">
        <f aca="false">IFERROR(INDEX(Rates!$C$5:$C$84,MATCH(M122,Rates!$A$5:$A$84,0)),"")</f>
        <v>kg</v>
      </c>
      <c r="Q122" s="15" t="n">
        <f aca="false">IFERROR(INDEX(Rates!$D$5:$D$84,MATCH(M122,Rates!$A$5:$A$84,0)),0)</f>
        <v>0.04</v>
      </c>
      <c r="R122" s="12" t="n">
        <f aca="false">O122*(1+Q122)</f>
        <v>15.69828</v>
      </c>
      <c r="S122" s="16" t="n">
        <f aca="false">IFERROR(INDEX(Rates!$E$5:$E$84,MATCH(M122,Rates!$A$5:$A$84,0)),0)</f>
        <v>262</v>
      </c>
      <c r="T122" s="7" t="n">
        <f aca="false">R122*S122</f>
        <v>4112.94936</v>
      </c>
      <c r="U122" s="17" t="str">
        <f aca="false">IF(M122="BRK",R122/2000,IF(OR(M122="SNDC",M122="SNDM",M122="CRS",M122="KHG",M122="EARTH"),R122/100,""))</f>
        <v/>
      </c>
    </row>
    <row r="123" customFormat="false" ht="43.25" hidden="false" customHeight="false" outlineLevel="0" collapsed="false">
      <c r="A123" s="6" t="s">
        <v>490</v>
      </c>
      <c r="B123" s="6" t="s">
        <v>491</v>
      </c>
      <c r="C123" s="6" t="s">
        <v>523</v>
      </c>
      <c r="D123" s="9" t="s">
        <v>499</v>
      </c>
      <c r="E123" s="9" t="s">
        <v>524</v>
      </c>
      <c r="F123" s="9" t="s">
        <v>525</v>
      </c>
      <c r="G123" s="9" t="s">
        <v>526</v>
      </c>
      <c r="H123" s="12" t="n">
        <v>12.115</v>
      </c>
      <c r="I123" s="6" t="s">
        <v>71</v>
      </c>
      <c r="J123" s="6" t="s">
        <v>503</v>
      </c>
      <c r="K123" s="6" t="s">
        <v>518</v>
      </c>
      <c r="L123" s="6"/>
      <c r="M123" s="6" t="s">
        <v>37</v>
      </c>
      <c r="N123" s="13" t="str">
        <f aca="false">IFERROR(INDEX(Rates!$B$5:$B$84,MATCH(M123,Rates!$A$5:$A$84,0)),"")</f>
        <v>Cement OPC, 50 kg bag (Lucky / Bestway / Maple Leaf)</v>
      </c>
      <c r="O123" s="12" t="n">
        <v>2.1738</v>
      </c>
      <c r="P123" s="14" t="str">
        <f aca="false">IFERROR(INDEX(Rates!$C$5:$C$84,MATCH(M123,Rates!$A$5:$A$84,0)),"")</f>
        <v>bag</v>
      </c>
      <c r="Q123" s="15" t="n">
        <f aca="false">IFERROR(INDEX(Rates!$D$5:$D$84,MATCH(M123,Rates!$A$5:$A$84,0)),0)</f>
        <v>0.03</v>
      </c>
      <c r="R123" s="12" t="n">
        <f aca="false">O123*(1+Q123)</f>
        <v>2.239014</v>
      </c>
      <c r="S123" s="16" t="n">
        <f aca="false">IFERROR(INDEX(Rates!$E$5:$E$84,MATCH(M123,Rates!$A$5:$A$84,0)),0)</f>
        <v>1560</v>
      </c>
      <c r="T123" s="7" t="n">
        <f aca="false">R123*S123</f>
        <v>3492.86184</v>
      </c>
      <c r="U123" s="17" t="str">
        <f aca="false">IF(M123="BRK",R123/2000,IF(OR(M123="SNDC",M123="SNDM",M123="CRS",M123="KHG",M123="EARTH"),R123/100,""))</f>
        <v/>
      </c>
    </row>
    <row r="124" customFormat="false" ht="15" hidden="false" customHeight="false" outlineLevel="0" collapsed="false">
      <c r="A124" s="6" t="s">
        <v>490</v>
      </c>
      <c r="B124" s="6" t="s">
        <v>491</v>
      </c>
      <c r="C124" s="6" t="s">
        <v>523</v>
      </c>
      <c r="D124" s="9"/>
      <c r="E124" s="9"/>
      <c r="F124" s="9"/>
      <c r="G124" s="9"/>
      <c r="H124" s="12"/>
      <c r="I124" s="6"/>
      <c r="J124" s="6" t="s">
        <v>503</v>
      </c>
      <c r="K124" s="6" t="s">
        <v>518</v>
      </c>
      <c r="L124" s="6"/>
      <c r="M124" s="6" t="s">
        <v>69</v>
      </c>
      <c r="N124" s="13" t="str">
        <f aca="false">IFERROR(INDEX(Rates!$B$5:$B$84,MATCH(M124,Rates!$A$5:$A$84,0)),"")</f>
        <v>Chenab sand (concrete, screed)</v>
      </c>
      <c r="O124" s="12" t="n">
        <v>5.4344</v>
      </c>
      <c r="P124" s="14" t="str">
        <f aca="false">IFERROR(INDEX(Rates!$C$5:$C$84,MATCH(M124,Rates!$A$5:$A$84,0)),"")</f>
        <v>cft</v>
      </c>
      <c r="Q124" s="15" t="n">
        <f aca="false">IFERROR(INDEX(Rates!$D$5:$D$84,MATCH(M124,Rates!$A$5:$A$84,0)),0)</f>
        <v>0.08</v>
      </c>
      <c r="R124" s="12" t="n">
        <f aca="false">O124*(1+Q124)</f>
        <v>5.869152</v>
      </c>
      <c r="S124" s="16" t="n">
        <f aca="false">IFERROR(INDEX(Rates!$E$5:$E$84,MATCH(M124,Rates!$A$5:$A$84,0)),0)</f>
        <v>65</v>
      </c>
      <c r="T124" s="7" t="n">
        <f aca="false">R124*S124</f>
        <v>381.49488</v>
      </c>
      <c r="U124" s="17" t="n">
        <f aca="false">IF(M124="BRK",R124/2000,IF(OR(M124="SNDC",M124="SNDM",M124="CRS",M124="KHG",M124="EARTH"),R124/100,""))</f>
        <v>0.05869152</v>
      </c>
    </row>
    <row r="125" customFormat="false" ht="15" hidden="false" customHeight="false" outlineLevel="0" collapsed="false">
      <c r="A125" s="6" t="s">
        <v>490</v>
      </c>
      <c r="B125" s="6" t="s">
        <v>491</v>
      </c>
      <c r="C125" s="6" t="s">
        <v>523</v>
      </c>
      <c r="D125" s="9"/>
      <c r="E125" s="9"/>
      <c r="F125" s="9"/>
      <c r="G125" s="9"/>
      <c r="H125" s="12"/>
      <c r="I125" s="6"/>
      <c r="J125" s="6" t="s">
        <v>503</v>
      </c>
      <c r="K125" s="6" t="s">
        <v>518</v>
      </c>
      <c r="L125" s="6"/>
      <c r="M125" s="6" t="s">
        <v>79</v>
      </c>
      <c r="N125" s="13" t="str">
        <f aca="false">IFERROR(INDEX(Rates!$B$5:$B$84,MATCH(M125,Rates!$A$5:$A$84,0)),"")</f>
        <v>Crush ¾" down, Sargodha (bajri)</v>
      </c>
      <c r="O125" s="12" t="n">
        <v>10.8689</v>
      </c>
      <c r="P125" s="14" t="str">
        <f aca="false">IFERROR(INDEX(Rates!$C$5:$C$84,MATCH(M125,Rates!$A$5:$A$84,0)),"")</f>
        <v>cft</v>
      </c>
      <c r="Q125" s="15" t="n">
        <f aca="false">IFERROR(INDEX(Rates!$D$5:$D$84,MATCH(M125,Rates!$A$5:$A$84,0)),0)</f>
        <v>0.05</v>
      </c>
      <c r="R125" s="12" t="n">
        <f aca="false">O125*(1+Q125)</f>
        <v>11.412345</v>
      </c>
      <c r="S125" s="16" t="n">
        <f aca="false">IFERROR(INDEX(Rates!$E$5:$E$84,MATCH(M125,Rates!$A$5:$A$84,0)),0)</f>
        <v>110</v>
      </c>
      <c r="T125" s="7" t="n">
        <f aca="false">R125*S125</f>
        <v>1255.35795</v>
      </c>
      <c r="U125" s="17" t="n">
        <f aca="false">IF(M125="BRK",R125/2000,IF(OR(M125="SNDC",M125="SNDM",M125="CRS",M125="KHG",M125="EARTH"),R125/100,""))</f>
        <v>0.11412345</v>
      </c>
    </row>
    <row r="126" customFormat="false" ht="15" hidden="false" customHeight="false" outlineLevel="0" collapsed="false">
      <c r="A126" s="6" t="s">
        <v>490</v>
      </c>
      <c r="B126" s="6" t="s">
        <v>491</v>
      </c>
      <c r="C126" s="6" t="s">
        <v>523</v>
      </c>
      <c r="D126" s="9"/>
      <c r="E126" s="9"/>
      <c r="F126" s="9"/>
      <c r="G126" s="9"/>
      <c r="H126" s="12"/>
      <c r="I126" s="6"/>
      <c r="J126" s="6" t="s">
        <v>503</v>
      </c>
      <c r="K126" s="6" t="s">
        <v>518</v>
      </c>
      <c r="L126" s="6"/>
      <c r="M126" s="6" t="s">
        <v>62</v>
      </c>
      <c r="N126" s="13" t="str">
        <f aca="false">IFERROR(INDEX(Rates!$B$5:$B$84,MATCH(M126,Rates!$A$5:$A$84,0)),"")</f>
        <v>Steel Grade 60 deformed, #6 (20 mm)</v>
      </c>
      <c r="O126" s="12" t="n">
        <v>178.1283</v>
      </c>
      <c r="P126" s="14" t="str">
        <f aca="false">IFERROR(INDEX(Rates!$C$5:$C$84,MATCH(M126,Rates!$A$5:$A$84,0)),"")</f>
        <v>kg</v>
      </c>
      <c r="Q126" s="15" t="n">
        <f aca="false">IFERROR(INDEX(Rates!$D$5:$D$84,MATCH(M126,Rates!$A$5:$A$84,0)),0)</f>
        <v>0.04</v>
      </c>
      <c r="R126" s="12" t="n">
        <f aca="false">O126*(1+Q126)</f>
        <v>185.253432</v>
      </c>
      <c r="S126" s="16" t="n">
        <f aca="false">IFERROR(INDEX(Rates!$E$5:$E$84,MATCH(M126,Rates!$A$5:$A$84,0)),0)</f>
        <v>262</v>
      </c>
      <c r="T126" s="7" t="n">
        <f aca="false">R126*S126</f>
        <v>48536.399184</v>
      </c>
      <c r="U126" s="17" t="str">
        <f aca="false">IF(M126="BRK",R126/2000,IF(OR(M126="SNDC",M126="SNDM",M126="CRS",M126="KHG",M126="EARTH"),R126/100,""))</f>
        <v/>
      </c>
    </row>
    <row r="127" customFormat="false" ht="22.35" hidden="false" customHeight="false" outlineLevel="0" collapsed="false">
      <c r="A127" s="6" t="s">
        <v>490</v>
      </c>
      <c r="B127" s="6" t="s">
        <v>491</v>
      </c>
      <c r="C127" s="6" t="s">
        <v>523</v>
      </c>
      <c r="D127" s="9"/>
      <c r="E127" s="9"/>
      <c r="F127" s="9"/>
      <c r="G127" s="9"/>
      <c r="H127" s="12"/>
      <c r="I127" s="6"/>
      <c r="J127" s="6" t="s">
        <v>503</v>
      </c>
      <c r="K127" s="6" t="s">
        <v>518</v>
      </c>
      <c r="L127" s="6"/>
      <c r="M127" s="6" t="s">
        <v>56</v>
      </c>
      <c r="N127" s="13" t="str">
        <f aca="false">IFERROR(INDEX(Rates!$B$5:$B$84,MATCH(M127,Rates!$A$5:$A$84,0)),"")</f>
        <v>Steel Grade 60 deformed, #3 (10 mm) (Amreli / Mughal / FF Steel)</v>
      </c>
      <c r="O127" s="12" t="n">
        <v>47.1067</v>
      </c>
      <c r="P127" s="14" t="str">
        <f aca="false">IFERROR(INDEX(Rates!$C$5:$C$84,MATCH(M127,Rates!$A$5:$A$84,0)),"")</f>
        <v>kg</v>
      </c>
      <c r="Q127" s="15" t="n">
        <f aca="false">IFERROR(INDEX(Rates!$D$5:$D$84,MATCH(M127,Rates!$A$5:$A$84,0)),0)</f>
        <v>0.04</v>
      </c>
      <c r="R127" s="12" t="n">
        <f aca="false">O127*(1+Q127)</f>
        <v>48.990968</v>
      </c>
      <c r="S127" s="16" t="n">
        <f aca="false">IFERROR(INDEX(Rates!$E$5:$E$84,MATCH(M127,Rates!$A$5:$A$84,0)),0)</f>
        <v>262</v>
      </c>
      <c r="T127" s="7" t="n">
        <f aca="false">R127*S127</f>
        <v>12835.633616</v>
      </c>
      <c r="U127" s="17" t="str">
        <f aca="false">IF(M127="BRK",R127/2000,IF(OR(M127="SNDC",M127="SNDM",M127="CRS",M127="KHG",M127="EARTH"),R127/100,""))</f>
        <v/>
      </c>
    </row>
    <row r="128" customFormat="false" ht="43.25" hidden="false" customHeight="false" outlineLevel="0" collapsed="false">
      <c r="A128" s="6" t="s">
        <v>490</v>
      </c>
      <c r="B128" s="6" t="s">
        <v>491</v>
      </c>
      <c r="C128" s="6" t="s">
        <v>527</v>
      </c>
      <c r="D128" s="9" t="s">
        <v>506</v>
      </c>
      <c r="E128" s="9" t="s">
        <v>528</v>
      </c>
      <c r="F128" s="9" t="s">
        <v>529</v>
      </c>
      <c r="G128" s="9" t="s">
        <v>530</v>
      </c>
      <c r="H128" s="12" t="n">
        <v>25.505</v>
      </c>
      <c r="I128" s="6" t="s">
        <v>71</v>
      </c>
      <c r="J128" s="6" t="s">
        <v>503</v>
      </c>
      <c r="K128" s="6" t="s">
        <v>518</v>
      </c>
      <c r="L128" s="6"/>
      <c r="M128" s="6" t="s">
        <v>37</v>
      </c>
      <c r="N128" s="13" t="str">
        <f aca="false">IFERROR(INDEX(Rates!$B$5:$B$84,MATCH(M128,Rates!$A$5:$A$84,0)),"")</f>
        <v>Cement OPC, 50 kg bag (Lucky / Bestway / Maple Leaf)</v>
      </c>
      <c r="O128" s="12" t="n">
        <v>4.5763</v>
      </c>
      <c r="P128" s="14" t="str">
        <f aca="false">IFERROR(INDEX(Rates!$C$5:$C$84,MATCH(M128,Rates!$A$5:$A$84,0)),"")</f>
        <v>bag</v>
      </c>
      <c r="Q128" s="15" t="n">
        <f aca="false">IFERROR(INDEX(Rates!$D$5:$D$84,MATCH(M128,Rates!$A$5:$A$84,0)),0)</f>
        <v>0.03</v>
      </c>
      <c r="R128" s="12" t="n">
        <f aca="false">O128*(1+Q128)</f>
        <v>4.713589</v>
      </c>
      <c r="S128" s="16" t="n">
        <f aca="false">IFERROR(INDEX(Rates!$E$5:$E$84,MATCH(M128,Rates!$A$5:$A$84,0)),0)</f>
        <v>1560</v>
      </c>
      <c r="T128" s="7" t="n">
        <f aca="false">R128*S128</f>
        <v>7353.19884</v>
      </c>
      <c r="U128" s="17" t="str">
        <f aca="false">IF(M128="BRK",R128/2000,IF(OR(M128="SNDC",M128="SNDM",M128="CRS",M128="KHG",M128="EARTH"),R128/100,""))</f>
        <v/>
      </c>
    </row>
    <row r="129" customFormat="false" ht="15" hidden="false" customHeight="false" outlineLevel="0" collapsed="false">
      <c r="A129" s="6" t="s">
        <v>490</v>
      </c>
      <c r="B129" s="6" t="s">
        <v>491</v>
      </c>
      <c r="C129" s="6" t="s">
        <v>527</v>
      </c>
      <c r="D129" s="9"/>
      <c r="E129" s="9"/>
      <c r="F129" s="9"/>
      <c r="G129" s="9"/>
      <c r="H129" s="12"/>
      <c r="I129" s="6"/>
      <c r="J129" s="6" t="s">
        <v>503</v>
      </c>
      <c r="K129" s="6" t="s">
        <v>518</v>
      </c>
      <c r="L129" s="6"/>
      <c r="M129" s="6" t="s">
        <v>69</v>
      </c>
      <c r="N129" s="13" t="str">
        <f aca="false">IFERROR(INDEX(Rates!$B$5:$B$84,MATCH(M129,Rates!$A$5:$A$84,0)),"")</f>
        <v>Chenab sand (concrete, screed)</v>
      </c>
      <c r="O129" s="12" t="n">
        <v>11.4408</v>
      </c>
      <c r="P129" s="14" t="str">
        <f aca="false">IFERROR(INDEX(Rates!$C$5:$C$84,MATCH(M129,Rates!$A$5:$A$84,0)),"")</f>
        <v>cft</v>
      </c>
      <c r="Q129" s="15" t="n">
        <f aca="false">IFERROR(INDEX(Rates!$D$5:$D$84,MATCH(M129,Rates!$A$5:$A$84,0)),0)</f>
        <v>0.08</v>
      </c>
      <c r="R129" s="12" t="n">
        <f aca="false">O129*(1+Q129)</f>
        <v>12.356064</v>
      </c>
      <c r="S129" s="16" t="n">
        <f aca="false">IFERROR(INDEX(Rates!$E$5:$E$84,MATCH(M129,Rates!$A$5:$A$84,0)),0)</f>
        <v>65</v>
      </c>
      <c r="T129" s="7" t="n">
        <f aca="false">R129*S129</f>
        <v>803.14416</v>
      </c>
      <c r="U129" s="17" t="n">
        <f aca="false">IF(M129="BRK",R129/2000,IF(OR(M129="SNDC",M129="SNDM",M129="CRS",M129="KHG",M129="EARTH"),R129/100,""))</f>
        <v>0.12356064</v>
      </c>
    </row>
    <row r="130" customFormat="false" ht="15" hidden="false" customHeight="false" outlineLevel="0" collapsed="false">
      <c r="A130" s="6" t="s">
        <v>490</v>
      </c>
      <c r="B130" s="6" t="s">
        <v>491</v>
      </c>
      <c r="C130" s="6" t="s">
        <v>527</v>
      </c>
      <c r="D130" s="9"/>
      <c r="E130" s="9"/>
      <c r="F130" s="9"/>
      <c r="G130" s="9"/>
      <c r="H130" s="12"/>
      <c r="I130" s="6"/>
      <c r="J130" s="6" t="s">
        <v>503</v>
      </c>
      <c r="K130" s="6" t="s">
        <v>518</v>
      </c>
      <c r="L130" s="6"/>
      <c r="M130" s="6" t="s">
        <v>79</v>
      </c>
      <c r="N130" s="13" t="str">
        <f aca="false">IFERROR(INDEX(Rates!$B$5:$B$84,MATCH(M130,Rates!$A$5:$A$84,0)),"")</f>
        <v>Crush ¾" down, Sargodha (bajri)</v>
      </c>
      <c r="O130" s="12" t="n">
        <v>22.8816</v>
      </c>
      <c r="P130" s="14" t="str">
        <f aca="false">IFERROR(INDEX(Rates!$C$5:$C$84,MATCH(M130,Rates!$A$5:$A$84,0)),"")</f>
        <v>cft</v>
      </c>
      <c r="Q130" s="15" t="n">
        <f aca="false">IFERROR(INDEX(Rates!$D$5:$D$84,MATCH(M130,Rates!$A$5:$A$84,0)),0)</f>
        <v>0.05</v>
      </c>
      <c r="R130" s="12" t="n">
        <f aca="false">O130*(1+Q130)</f>
        <v>24.02568</v>
      </c>
      <c r="S130" s="16" t="n">
        <f aca="false">IFERROR(INDEX(Rates!$E$5:$E$84,MATCH(M130,Rates!$A$5:$A$84,0)),0)</f>
        <v>110</v>
      </c>
      <c r="T130" s="7" t="n">
        <f aca="false">R130*S130</f>
        <v>2642.8248</v>
      </c>
      <c r="U130" s="17" t="n">
        <f aca="false">IF(M130="BRK",R130/2000,IF(OR(M130="SNDC",M130="SNDM",M130="CRS",M130="KHG",M130="EARTH"),R130/100,""))</f>
        <v>0.2402568</v>
      </c>
    </row>
    <row r="131" customFormat="false" ht="15" hidden="false" customHeight="false" outlineLevel="0" collapsed="false">
      <c r="A131" s="6" t="s">
        <v>490</v>
      </c>
      <c r="B131" s="6" t="s">
        <v>491</v>
      </c>
      <c r="C131" s="6" t="s">
        <v>527</v>
      </c>
      <c r="D131" s="9"/>
      <c r="E131" s="9"/>
      <c r="F131" s="9"/>
      <c r="G131" s="9"/>
      <c r="H131" s="12"/>
      <c r="I131" s="6"/>
      <c r="J131" s="6" t="s">
        <v>503</v>
      </c>
      <c r="K131" s="6" t="s">
        <v>518</v>
      </c>
      <c r="L131" s="6"/>
      <c r="M131" s="6" t="s">
        <v>62</v>
      </c>
      <c r="N131" s="13" t="str">
        <f aca="false">IFERROR(INDEX(Rates!$B$5:$B$84,MATCH(M131,Rates!$A$5:$A$84,0)),"")</f>
        <v>Steel Grade 60 deformed, #6 (20 mm)</v>
      </c>
      <c r="O131" s="12" t="n">
        <v>345.3096</v>
      </c>
      <c r="P131" s="14" t="str">
        <f aca="false">IFERROR(INDEX(Rates!$C$5:$C$84,MATCH(M131,Rates!$A$5:$A$84,0)),"")</f>
        <v>kg</v>
      </c>
      <c r="Q131" s="15" t="n">
        <f aca="false">IFERROR(INDEX(Rates!$D$5:$D$84,MATCH(M131,Rates!$A$5:$A$84,0)),0)</f>
        <v>0.04</v>
      </c>
      <c r="R131" s="12" t="n">
        <f aca="false">O131*(1+Q131)</f>
        <v>359.121984</v>
      </c>
      <c r="S131" s="16" t="n">
        <f aca="false">IFERROR(INDEX(Rates!$E$5:$E$84,MATCH(M131,Rates!$A$5:$A$84,0)),0)</f>
        <v>262</v>
      </c>
      <c r="T131" s="7" t="n">
        <f aca="false">R131*S131</f>
        <v>94089.959808</v>
      </c>
      <c r="U131" s="17" t="str">
        <f aca="false">IF(M131="BRK",R131/2000,IF(OR(M131="SNDC",M131="SNDM",M131="CRS",M131="KHG",M131="EARTH"),R131/100,""))</f>
        <v/>
      </c>
    </row>
    <row r="132" customFormat="false" ht="22.35" hidden="false" customHeight="false" outlineLevel="0" collapsed="false">
      <c r="A132" s="6" t="s">
        <v>490</v>
      </c>
      <c r="B132" s="6" t="s">
        <v>491</v>
      </c>
      <c r="C132" s="6" t="s">
        <v>527</v>
      </c>
      <c r="D132" s="9"/>
      <c r="E132" s="9"/>
      <c r="F132" s="9"/>
      <c r="G132" s="9"/>
      <c r="H132" s="12"/>
      <c r="I132" s="6"/>
      <c r="J132" s="6" t="s">
        <v>503</v>
      </c>
      <c r="K132" s="6" t="s">
        <v>518</v>
      </c>
      <c r="L132" s="6"/>
      <c r="M132" s="6" t="s">
        <v>56</v>
      </c>
      <c r="N132" s="13" t="str">
        <f aca="false">IFERROR(INDEX(Rates!$B$5:$B$84,MATCH(M132,Rates!$A$5:$A$84,0)),"")</f>
        <v>Steel Grade 60 deformed, #3 (10 mm) (Amreli / Mughal / FF Steel)</v>
      </c>
      <c r="O132" s="12" t="n">
        <v>97.5411</v>
      </c>
      <c r="P132" s="14" t="str">
        <f aca="false">IFERROR(INDEX(Rates!$C$5:$C$84,MATCH(M132,Rates!$A$5:$A$84,0)),"")</f>
        <v>kg</v>
      </c>
      <c r="Q132" s="15" t="n">
        <f aca="false">IFERROR(INDEX(Rates!$D$5:$D$84,MATCH(M132,Rates!$A$5:$A$84,0)),0)</f>
        <v>0.04</v>
      </c>
      <c r="R132" s="12" t="n">
        <f aca="false">O132*(1+Q132)</f>
        <v>101.442744</v>
      </c>
      <c r="S132" s="16" t="n">
        <f aca="false">IFERROR(INDEX(Rates!$E$5:$E$84,MATCH(M132,Rates!$A$5:$A$84,0)),0)</f>
        <v>262</v>
      </c>
      <c r="T132" s="7" t="n">
        <f aca="false">R132*S132</f>
        <v>26577.998928</v>
      </c>
      <c r="U132" s="17" t="str">
        <f aca="false">IF(M132="BRK",R132/2000,IF(OR(M132="SNDC",M132="SNDM",M132="CRS",M132="KHG",M132="EARTH"),R132/100,""))</f>
        <v/>
      </c>
    </row>
    <row r="133" customFormat="false" ht="43.25" hidden="false" customHeight="false" outlineLevel="0" collapsed="false">
      <c r="A133" s="6" t="s">
        <v>490</v>
      </c>
      <c r="B133" s="6" t="s">
        <v>491</v>
      </c>
      <c r="C133" s="6" t="s">
        <v>531</v>
      </c>
      <c r="D133" s="9" t="s">
        <v>481</v>
      </c>
      <c r="E133" s="9" t="s">
        <v>532</v>
      </c>
      <c r="F133" s="9" t="s">
        <v>533</v>
      </c>
      <c r="G133" s="9" t="s">
        <v>534</v>
      </c>
      <c r="H133" s="12" t="n">
        <v>7.565</v>
      </c>
      <c r="I133" s="6" t="s">
        <v>71</v>
      </c>
      <c r="J133" s="6" t="s">
        <v>503</v>
      </c>
      <c r="K133" s="6" t="s">
        <v>518</v>
      </c>
      <c r="L133" s="6"/>
      <c r="M133" s="6" t="s">
        <v>37</v>
      </c>
      <c r="N133" s="13" t="str">
        <f aca="false">IFERROR(INDEX(Rates!$B$5:$B$84,MATCH(M133,Rates!$A$5:$A$84,0)),"")</f>
        <v>Cement OPC, 50 kg bag (Lucky / Bestway / Maple Leaf)</v>
      </c>
      <c r="O133" s="12" t="n">
        <v>1.3574</v>
      </c>
      <c r="P133" s="14" t="str">
        <f aca="false">IFERROR(INDEX(Rates!$C$5:$C$84,MATCH(M133,Rates!$A$5:$A$84,0)),"")</f>
        <v>bag</v>
      </c>
      <c r="Q133" s="15" t="n">
        <f aca="false">IFERROR(INDEX(Rates!$D$5:$D$84,MATCH(M133,Rates!$A$5:$A$84,0)),0)</f>
        <v>0.03</v>
      </c>
      <c r="R133" s="12" t="n">
        <f aca="false">O133*(1+Q133)</f>
        <v>1.398122</v>
      </c>
      <c r="S133" s="16" t="n">
        <f aca="false">IFERROR(INDEX(Rates!$E$5:$E$84,MATCH(M133,Rates!$A$5:$A$84,0)),0)</f>
        <v>1560</v>
      </c>
      <c r="T133" s="7" t="n">
        <f aca="false">R133*S133</f>
        <v>2181.07032</v>
      </c>
      <c r="U133" s="17" t="str">
        <f aca="false">IF(M133="BRK",R133/2000,IF(OR(M133="SNDC",M133="SNDM",M133="CRS",M133="KHG",M133="EARTH"),R133/100,""))</f>
        <v/>
      </c>
    </row>
    <row r="134" customFormat="false" ht="15" hidden="false" customHeight="false" outlineLevel="0" collapsed="false">
      <c r="A134" s="6" t="s">
        <v>490</v>
      </c>
      <c r="B134" s="6" t="s">
        <v>491</v>
      </c>
      <c r="C134" s="6" t="s">
        <v>531</v>
      </c>
      <c r="D134" s="9"/>
      <c r="E134" s="9"/>
      <c r="F134" s="9"/>
      <c r="G134" s="9"/>
      <c r="H134" s="12"/>
      <c r="I134" s="6"/>
      <c r="J134" s="6" t="s">
        <v>503</v>
      </c>
      <c r="K134" s="6" t="s">
        <v>518</v>
      </c>
      <c r="L134" s="6"/>
      <c r="M134" s="6" t="s">
        <v>69</v>
      </c>
      <c r="N134" s="13" t="str">
        <f aca="false">IFERROR(INDEX(Rates!$B$5:$B$84,MATCH(M134,Rates!$A$5:$A$84,0)),"")</f>
        <v>Chenab sand (concrete, screed)</v>
      </c>
      <c r="O134" s="12" t="n">
        <v>3.3934</v>
      </c>
      <c r="P134" s="14" t="str">
        <f aca="false">IFERROR(INDEX(Rates!$C$5:$C$84,MATCH(M134,Rates!$A$5:$A$84,0)),"")</f>
        <v>cft</v>
      </c>
      <c r="Q134" s="15" t="n">
        <f aca="false">IFERROR(INDEX(Rates!$D$5:$D$84,MATCH(M134,Rates!$A$5:$A$84,0)),0)</f>
        <v>0.08</v>
      </c>
      <c r="R134" s="12" t="n">
        <f aca="false">O134*(1+Q134)</f>
        <v>3.664872</v>
      </c>
      <c r="S134" s="16" t="n">
        <f aca="false">IFERROR(INDEX(Rates!$E$5:$E$84,MATCH(M134,Rates!$A$5:$A$84,0)),0)</f>
        <v>65</v>
      </c>
      <c r="T134" s="7" t="n">
        <f aca="false">R134*S134</f>
        <v>238.21668</v>
      </c>
      <c r="U134" s="17" t="n">
        <f aca="false">IF(M134="BRK",R134/2000,IF(OR(M134="SNDC",M134="SNDM",M134="CRS",M134="KHG",M134="EARTH"),R134/100,""))</f>
        <v>0.03664872</v>
      </c>
    </row>
    <row r="135" customFormat="false" ht="15" hidden="false" customHeight="false" outlineLevel="0" collapsed="false">
      <c r="A135" s="6" t="s">
        <v>490</v>
      </c>
      <c r="B135" s="6" t="s">
        <v>491</v>
      </c>
      <c r="C135" s="6" t="s">
        <v>531</v>
      </c>
      <c r="D135" s="9"/>
      <c r="E135" s="9"/>
      <c r="F135" s="9"/>
      <c r="G135" s="9"/>
      <c r="H135" s="12"/>
      <c r="I135" s="6"/>
      <c r="J135" s="6" t="s">
        <v>503</v>
      </c>
      <c r="K135" s="6" t="s">
        <v>518</v>
      </c>
      <c r="L135" s="6"/>
      <c r="M135" s="6" t="s">
        <v>79</v>
      </c>
      <c r="N135" s="13" t="str">
        <f aca="false">IFERROR(INDEX(Rates!$B$5:$B$84,MATCH(M135,Rates!$A$5:$A$84,0)),"")</f>
        <v>Crush ¾" down, Sargodha (bajri)</v>
      </c>
      <c r="O135" s="12" t="n">
        <v>6.7869</v>
      </c>
      <c r="P135" s="14" t="str">
        <f aca="false">IFERROR(INDEX(Rates!$C$5:$C$84,MATCH(M135,Rates!$A$5:$A$84,0)),"")</f>
        <v>cft</v>
      </c>
      <c r="Q135" s="15" t="n">
        <f aca="false">IFERROR(INDEX(Rates!$D$5:$D$84,MATCH(M135,Rates!$A$5:$A$84,0)),0)</f>
        <v>0.05</v>
      </c>
      <c r="R135" s="12" t="n">
        <f aca="false">O135*(1+Q135)</f>
        <v>7.126245</v>
      </c>
      <c r="S135" s="16" t="n">
        <f aca="false">IFERROR(INDEX(Rates!$E$5:$E$84,MATCH(M135,Rates!$A$5:$A$84,0)),0)</f>
        <v>110</v>
      </c>
      <c r="T135" s="7" t="n">
        <f aca="false">R135*S135</f>
        <v>783.88695</v>
      </c>
      <c r="U135" s="17" t="n">
        <f aca="false">IF(M135="BRK",R135/2000,IF(OR(M135="SNDC",M135="SNDM",M135="CRS",M135="KHG",M135="EARTH"),R135/100,""))</f>
        <v>0.07126245</v>
      </c>
    </row>
    <row r="136" customFormat="false" ht="15" hidden="false" customHeight="false" outlineLevel="0" collapsed="false">
      <c r="A136" s="6" t="s">
        <v>490</v>
      </c>
      <c r="B136" s="6" t="s">
        <v>491</v>
      </c>
      <c r="C136" s="6" t="s">
        <v>531</v>
      </c>
      <c r="D136" s="9"/>
      <c r="E136" s="9"/>
      <c r="F136" s="9"/>
      <c r="G136" s="9"/>
      <c r="H136" s="12"/>
      <c r="I136" s="6"/>
      <c r="J136" s="6" t="s">
        <v>503</v>
      </c>
      <c r="K136" s="6" t="s">
        <v>518</v>
      </c>
      <c r="L136" s="6"/>
      <c r="M136" s="6" t="s">
        <v>62</v>
      </c>
      <c r="N136" s="13" t="str">
        <f aca="false">IFERROR(INDEX(Rates!$B$5:$B$84,MATCH(M136,Rates!$A$5:$A$84,0)),"")</f>
        <v>Steel Grade 60 deformed, #6 (20 mm)</v>
      </c>
      <c r="O136" s="12" t="n">
        <v>101.7796</v>
      </c>
      <c r="P136" s="14" t="str">
        <f aca="false">IFERROR(INDEX(Rates!$C$5:$C$84,MATCH(M136,Rates!$A$5:$A$84,0)),"")</f>
        <v>kg</v>
      </c>
      <c r="Q136" s="15" t="n">
        <f aca="false">IFERROR(INDEX(Rates!$D$5:$D$84,MATCH(M136,Rates!$A$5:$A$84,0)),0)</f>
        <v>0.04</v>
      </c>
      <c r="R136" s="12" t="n">
        <f aca="false">O136*(1+Q136)</f>
        <v>105.850784</v>
      </c>
      <c r="S136" s="16" t="n">
        <f aca="false">IFERROR(INDEX(Rates!$E$5:$E$84,MATCH(M136,Rates!$A$5:$A$84,0)),0)</f>
        <v>262</v>
      </c>
      <c r="T136" s="7" t="n">
        <f aca="false">R136*S136</f>
        <v>27732.905408</v>
      </c>
      <c r="U136" s="17" t="str">
        <f aca="false">IF(M136="BRK",R136/2000,IF(OR(M136="SNDC",M136="SNDM",M136="CRS",M136="KHG",M136="EARTH"),R136/100,""))</f>
        <v/>
      </c>
    </row>
    <row r="137" customFormat="false" ht="22.35" hidden="false" customHeight="false" outlineLevel="0" collapsed="false">
      <c r="A137" s="6" t="s">
        <v>490</v>
      </c>
      <c r="B137" s="6" t="s">
        <v>491</v>
      </c>
      <c r="C137" s="6" t="s">
        <v>531</v>
      </c>
      <c r="D137" s="9"/>
      <c r="E137" s="9"/>
      <c r="F137" s="9"/>
      <c r="G137" s="9"/>
      <c r="H137" s="12"/>
      <c r="I137" s="6"/>
      <c r="J137" s="6" t="s">
        <v>503</v>
      </c>
      <c r="K137" s="6" t="s">
        <v>518</v>
      </c>
      <c r="L137" s="6"/>
      <c r="M137" s="6" t="s">
        <v>56</v>
      </c>
      <c r="N137" s="13" t="str">
        <f aca="false">IFERROR(INDEX(Rates!$B$5:$B$84,MATCH(M137,Rates!$A$5:$A$84,0)),"")</f>
        <v>Steel Grade 60 deformed, #3 (10 mm) (Amreli / Mughal / FF Steel)</v>
      </c>
      <c r="O137" s="12" t="n">
        <v>28.8963</v>
      </c>
      <c r="P137" s="14" t="str">
        <f aca="false">IFERROR(INDEX(Rates!$C$5:$C$84,MATCH(M137,Rates!$A$5:$A$84,0)),"")</f>
        <v>kg</v>
      </c>
      <c r="Q137" s="15" t="n">
        <f aca="false">IFERROR(INDEX(Rates!$D$5:$D$84,MATCH(M137,Rates!$A$5:$A$84,0)),0)</f>
        <v>0.04</v>
      </c>
      <c r="R137" s="12" t="n">
        <f aca="false">O137*(1+Q137)</f>
        <v>30.052152</v>
      </c>
      <c r="S137" s="16" t="n">
        <f aca="false">IFERROR(INDEX(Rates!$E$5:$E$84,MATCH(M137,Rates!$A$5:$A$84,0)),0)</f>
        <v>262</v>
      </c>
      <c r="T137" s="7" t="n">
        <f aca="false">R137*S137</f>
        <v>7873.663824</v>
      </c>
      <c r="U137" s="17" t="str">
        <f aca="false">IF(M137="BRK",R137/2000,IF(OR(M137="SNDC",M137="SNDM",M137="CRS",M137="KHG",M137="EARTH"),R137/100,""))</f>
        <v/>
      </c>
    </row>
    <row r="138" customFormat="false" ht="43.25" hidden="false" customHeight="false" outlineLevel="0" collapsed="false">
      <c r="A138" s="6" t="s">
        <v>490</v>
      </c>
      <c r="B138" s="6" t="s">
        <v>491</v>
      </c>
      <c r="C138" s="6" t="s">
        <v>535</v>
      </c>
      <c r="D138" s="9" t="s">
        <v>499</v>
      </c>
      <c r="E138" s="9" t="s">
        <v>536</v>
      </c>
      <c r="F138" s="9" t="s">
        <v>537</v>
      </c>
      <c r="G138" s="9" t="s">
        <v>538</v>
      </c>
      <c r="H138" s="12" t="n">
        <v>64.931</v>
      </c>
      <c r="I138" s="6" t="s">
        <v>71</v>
      </c>
      <c r="J138" s="6" t="s">
        <v>539</v>
      </c>
      <c r="K138" s="6" t="s">
        <v>540</v>
      </c>
      <c r="L138" s="6"/>
      <c r="M138" s="6" t="s">
        <v>37</v>
      </c>
      <c r="N138" s="13" t="str">
        <f aca="false">IFERROR(INDEX(Rates!$B$5:$B$84,MATCH(M138,Rates!$A$5:$A$84,0)),"")</f>
        <v>Cement OPC, 50 kg bag (Lucky / Bestway / Maple Leaf)</v>
      </c>
      <c r="O138" s="12" t="n">
        <v>11.6504</v>
      </c>
      <c r="P138" s="14" t="str">
        <f aca="false">IFERROR(INDEX(Rates!$C$5:$C$84,MATCH(M138,Rates!$A$5:$A$84,0)),"")</f>
        <v>bag</v>
      </c>
      <c r="Q138" s="15" t="n">
        <f aca="false">IFERROR(INDEX(Rates!$D$5:$D$84,MATCH(M138,Rates!$A$5:$A$84,0)),0)</f>
        <v>0.03</v>
      </c>
      <c r="R138" s="12" t="n">
        <f aca="false">O138*(1+Q138)</f>
        <v>11.999912</v>
      </c>
      <c r="S138" s="16" t="n">
        <f aca="false">IFERROR(INDEX(Rates!$E$5:$E$84,MATCH(M138,Rates!$A$5:$A$84,0)),0)</f>
        <v>1560</v>
      </c>
      <c r="T138" s="7" t="n">
        <f aca="false">R138*S138</f>
        <v>18719.86272</v>
      </c>
      <c r="U138" s="17" t="str">
        <f aca="false">IF(M138="BRK",R138/2000,IF(OR(M138="SNDC",M138="SNDM",M138="CRS",M138="KHG",M138="EARTH"),R138/100,""))</f>
        <v/>
      </c>
    </row>
    <row r="139" customFormat="false" ht="15" hidden="false" customHeight="false" outlineLevel="0" collapsed="false">
      <c r="A139" s="6" t="s">
        <v>490</v>
      </c>
      <c r="B139" s="6" t="s">
        <v>491</v>
      </c>
      <c r="C139" s="6" t="s">
        <v>535</v>
      </c>
      <c r="D139" s="9"/>
      <c r="E139" s="9"/>
      <c r="F139" s="9"/>
      <c r="G139" s="9"/>
      <c r="H139" s="12"/>
      <c r="I139" s="6"/>
      <c r="J139" s="6" t="s">
        <v>539</v>
      </c>
      <c r="K139" s="6" t="s">
        <v>540</v>
      </c>
      <c r="L139" s="6"/>
      <c r="M139" s="6" t="s">
        <v>69</v>
      </c>
      <c r="N139" s="13" t="str">
        <f aca="false">IFERROR(INDEX(Rates!$B$5:$B$84,MATCH(M139,Rates!$A$5:$A$84,0)),"")</f>
        <v>Chenab sand (concrete, screed)</v>
      </c>
      <c r="O139" s="12" t="n">
        <v>29.1261</v>
      </c>
      <c r="P139" s="14" t="str">
        <f aca="false">IFERROR(INDEX(Rates!$C$5:$C$84,MATCH(M139,Rates!$A$5:$A$84,0)),"")</f>
        <v>cft</v>
      </c>
      <c r="Q139" s="15" t="n">
        <f aca="false">IFERROR(INDEX(Rates!$D$5:$D$84,MATCH(M139,Rates!$A$5:$A$84,0)),0)</f>
        <v>0.08</v>
      </c>
      <c r="R139" s="12" t="n">
        <f aca="false">O139*(1+Q139)</f>
        <v>31.456188</v>
      </c>
      <c r="S139" s="16" t="n">
        <f aca="false">IFERROR(INDEX(Rates!$E$5:$E$84,MATCH(M139,Rates!$A$5:$A$84,0)),0)</f>
        <v>65</v>
      </c>
      <c r="T139" s="7" t="n">
        <f aca="false">R139*S139</f>
        <v>2044.65222</v>
      </c>
      <c r="U139" s="17" t="n">
        <f aca="false">IF(M139="BRK",R139/2000,IF(OR(M139="SNDC",M139="SNDM",M139="CRS",M139="KHG",M139="EARTH"),R139/100,""))</f>
        <v>0.31456188</v>
      </c>
    </row>
    <row r="140" customFormat="false" ht="15" hidden="false" customHeight="false" outlineLevel="0" collapsed="false">
      <c r="A140" s="6" t="s">
        <v>490</v>
      </c>
      <c r="B140" s="6" t="s">
        <v>491</v>
      </c>
      <c r="C140" s="6" t="s">
        <v>535</v>
      </c>
      <c r="D140" s="9"/>
      <c r="E140" s="9"/>
      <c r="F140" s="9"/>
      <c r="G140" s="9"/>
      <c r="H140" s="12"/>
      <c r="I140" s="6"/>
      <c r="J140" s="6" t="s">
        <v>539</v>
      </c>
      <c r="K140" s="6" t="s">
        <v>540</v>
      </c>
      <c r="L140" s="6"/>
      <c r="M140" s="6" t="s">
        <v>79</v>
      </c>
      <c r="N140" s="13" t="str">
        <f aca="false">IFERROR(INDEX(Rates!$B$5:$B$84,MATCH(M140,Rates!$A$5:$A$84,0)),"")</f>
        <v>Crush ¾" down, Sargodha (bajri)</v>
      </c>
      <c r="O140" s="12" t="n">
        <v>58.2522</v>
      </c>
      <c r="P140" s="14" t="str">
        <f aca="false">IFERROR(INDEX(Rates!$C$5:$C$84,MATCH(M140,Rates!$A$5:$A$84,0)),"")</f>
        <v>cft</v>
      </c>
      <c r="Q140" s="15" t="n">
        <f aca="false">IFERROR(INDEX(Rates!$D$5:$D$84,MATCH(M140,Rates!$A$5:$A$84,0)),0)</f>
        <v>0.05</v>
      </c>
      <c r="R140" s="12" t="n">
        <f aca="false">O140*(1+Q140)</f>
        <v>61.16481</v>
      </c>
      <c r="S140" s="16" t="n">
        <f aca="false">IFERROR(INDEX(Rates!$E$5:$E$84,MATCH(M140,Rates!$A$5:$A$84,0)),0)</f>
        <v>110</v>
      </c>
      <c r="T140" s="7" t="n">
        <f aca="false">R140*S140</f>
        <v>6728.1291</v>
      </c>
      <c r="U140" s="17" t="n">
        <f aca="false">IF(M140="BRK",R140/2000,IF(OR(M140="SNDC",M140="SNDM",M140="CRS",M140="KHG",M140="EARTH"),R140/100,""))</f>
        <v>0.6116481</v>
      </c>
    </row>
    <row r="141" customFormat="false" ht="15" hidden="false" customHeight="false" outlineLevel="0" collapsed="false">
      <c r="A141" s="6" t="s">
        <v>490</v>
      </c>
      <c r="B141" s="6" t="s">
        <v>491</v>
      </c>
      <c r="C141" s="6" t="s">
        <v>535</v>
      </c>
      <c r="D141" s="9"/>
      <c r="E141" s="9"/>
      <c r="F141" s="9"/>
      <c r="G141" s="9"/>
      <c r="H141" s="12"/>
      <c r="I141" s="6"/>
      <c r="J141" s="6" t="s">
        <v>539</v>
      </c>
      <c r="K141" s="6" t="s">
        <v>540</v>
      </c>
      <c r="L141" s="6"/>
      <c r="M141" s="6" t="s">
        <v>59</v>
      </c>
      <c r="N141" s="13" t="str">
        <f aca="false">IFERROR(INDEX(Rates!$B$5:$B$84,MATCH(M141,Rates!$A$5:$A$84,0)),"")</f>
        <v>Steel Grade 60 deformed, #4 (12 mm)</v>
      </c>
      <c r="O141" s="12" t="n">
        <v>161.3958</v>
      </c>
      <c r="P141" s="14" t="str">
        <f aca="false">IFERROR(INDEX(Rates!$C$5:$C$84,MATCH(M141,Rates!$A$5:$A$84,0)),"")</f>
        <v>kg</v>
      </c>
      <c r="Q141" s="15" t="n">
        <f aca="false">IFERROR(INDEX(Rates!$D$5:$D$84,MATCH(M141,Rates!$A$5:$A$84,0)),0)</f>
        <v>0.04</v>
      </c>
      <c r="R141" s="12" t="n">
        <f aca="false">O141*(1+Q141)</f>
        <v>167.851632</v>
      </c>
      <c r="S141" s="16" t="n">
        <f aca="false">IFERROR(INDEX(Rates!$E$5:$E$84,MATCH(M141,Rates!$A$5:$A$84,0)),0)</f>
        <v>262</v>
      </c>
      <c r="T141" s="7" t="n">
        <f aca="false">R141*S141</f>
        <v>43977.127584</v>
      </c>
      <c r="U141" s="17" t="str">
        <f aca="false">IF(M141="BRK",R141/2000,IF(OR(M141="SNDC",M141="SNDM",M141="CRS",M141="KHG",M141="EARTH"),R141/100,""))</f>
        <v/>
      </c>
    </row>
    <row r="142" customFormat="false" ht="22.35" hidden="false" customHeight="false" outlineLevel="0" collapsed="false">
      <c r="A142" s="6" t="s">
        <v>490</v>
      </c>
      <c r="B142" s="6" t="s">
        <v>491</v>
      </c>
      <c r="C142" s="6" t="s">
        <v>535</v>
      </c>
      <c r="D142" s="9"/>
      <c r="E142" s="9"/>
      <c r="F142" s="9"/>
      <c r="G142" s="9"/>
      <c r="H142" s="12"/>
      <c r="I142" s="6"/>
      <c r="J142" s="6" t="s">
        <v>539</v>
      </c>
      <c r="K142" s="6" t="s">
        <v>540</v>
      </c>
      <c r="L142" s="6"/>
      <c r="M142" s="6" t="s">
        <v>56</v>
      </c>
      <c r="N142" s="13" t="str">
        <f aca="false">IFERROR(INDEX(Rates!$B$5:$B$84,MATCH(M142,Rates!$A$5:$A$84,0)),"")</f>
        <v>Steel Grade 60 deformed, #3 (10 mm) (Amreli / Mughal / FF Steel)</v>
      </c>
      <c r="O142" s="12" t="n">
        <v>95.3223</v>
      </c>
      <c r="P142" s="14" t="str">
        <f aca="false">IFERROR(INDEX(Rates!$C$5:$C$84,MATCH(M142,Rates!$A$5:$A$84,0)),"")</f>
        <v>kg</v>
      </c>
      <c r="Q142" s="15" t="n">
        <f aca="false">IFERROR(INDEX(Rates!$D$5:$D$84,MATCH(M142,Rates!$A$5:$A$84,0)),0)</f>
        <v>0.04</v>
      </c>
      <c r="R142" s="12" t="n">
        <f aca="false">O142*(1+Q142)</f>
        <v>99.135192</v>
      </c>
      <c r="S142" s="16" t="n">
        <f aca="false">IFERROR(INDEX(Rates!$E$5:$E$84,MATCH(M142,Rates!$A$5:$A$84,0)),0)</f>
        <v>262</v>
      </c>
      <c r="T142" s="7" t="n">
        <f aca="false">R142*S142</f>
        <v>25973.420304</v>
      </c>
      <c r="U142" s="17" t="str">
        <f aca="false">IF(M142="BRK",R142/2000,IF(OR(M142="SNDC",M142="SNDM",M142="CRS",M142="KHG",M142="EARTH"),R142/100,""))</f>
        <v/>
      </c>
    </row>
    <row r="143" customFormat="false" ht="22.35" hidden="false" customHeight="false" outlineLevel="0" collapsed="false">
      <c r="A143" s="6" t="s">
        <v>490</v>
      </c>
      <c r="B143" s="6" t="s">
        <v>491</v>
      </c>
      <c r="C143" s="6" t="s">
        <v>535</v>
      </c>
      <c r="D143" s="9"/>
      <c r="E143" s="9"/>
      <c r="F143" s="9"/>
      <c r="G143" s="9"/>
      <c r="H143" s="12"/>
      <c r="I143" s="6"/>
      <c r="J143" s="6" t="s">
        <v>539</v>
      </c>
      <c r="K143" s="6" t="s">
        <v>540</v>
      </c>
      <c r="L143" s="6"/>
      <c r="M143" s="6" t="s">
        <v>50</v>
      </c>
      <c r="N143" s="13" t="str">
        <f aca="false">IFERROR(INDEX(Rates!$B$5:$B$84,MATCH(M143,Rates!$A$5:$A$84,0)),"")</f>
        <v>Steel Grade 60 deformed, #2 (6 mm) rings</v>
      </c>
      <c r="O143" s="12" t="n">
        <v>7.6898</v>
      </c>
      <c r="P143" s="14" t="str">
        <f aca="false">IFERROR(INDEX(Rates!$C$5:$C$84,MATCH(M143,Rates!$A$5:$A$84,0)),"")</f>
        <v>kg</v>
      </c>
      <c r="Q143" s="15" t="n">
        <f aca="false">IFERROR(INDEX(Rates!$D$5:$D$84,MATCH(M143,Rates!$A$5:$A$84,0)),0)</f>
        <v>0.04</v>
      </c>
      <c r="R143" s="12" t="n">
        <f aca="false">O143*(1+Q143)</f>
        <v>7.997392</v>
      </c>
      <c r="S143" s="16" t="n">
        <f aca="false">IFERROR(INDEX(Rates!$E$5:$E$84,MATCH(M143,Rates!$A$5:$A$84,0)),0)</f>
        <v>270</v>
      </c>
      <c r="T143" s="7" t="n">
        <f aca="false">R143*S143</f>
        <v>2159.29584</v>
      </c>
      <c r="U143" s="17" t="str">
        <f aca="false">IF(M143="BRK",R143/2000,IF(OR(M143="SNDC",M143="SNDM",M143="CRS",M143="KHG",M143="EARTH"),R143/100,""))</f>
        <v/>
      </c>
    </row>
    <row r="144" customFormat="false" ht="43.25" hidden="false" customHeight="false" outlineLevel="0" collapsed="false">
      <c r="A144" s="6" t="s">
        <v>490</v>
      </c>
      <c r="B144" s="6" t="s">
        <v>491</v>
      </c>
      <c r="C144" s="6" t="s">
        <v>541</v>
      </c>
      <c r="D144" s="9" t="s">
        <v>506</v>
      </c>
      <c r="E144" s="9" t="s">
        <v>542</v>
      </c>
      <c r="F144" s="9" t="s">
        <v>543</v>
      </c>
      <c r="G144" s="9" t="s">
        <v>544</v>
      </c>
      <c r="H144" s="12" t="n">
        <v>68.323</v>
      </c>
      <c r="I144" s="6" t="s">
        <v>71</v>
      </c>
      <c r="J144" s="6" t="s">
        <v>503</v>
      </c>
      <c r="K144" s="6" t="s">
        <v>540</v>
      </c>
      <c r="L144" s="6"/>
      <c r="M144" s="6" t="s">
        <v>37</v>
      </c>
      <c r="N144" s="13" t="str">
        <f aca="false">IFERROR(INDEX(Rates!$B$5:$B$84,MATCH(M144,Rates!$A$5:$A$84,0)),"")</f>
        <v>Cement OPC, 50 kg bag (Lucky / Bestway / Maple Leaf)</v>
      </c>
      <c r="O144" s="12" t="n">
        <v>12.259</v>
      </c>
      <c r="P144" s="14" t="str">
        <f aca="false">IFERROR(INDEX(Rates!$C$5:$C$84,MATCH(M144,Rates!$A$5:$A$84,0)),"")</f>
        <v>bag</v>
      </c>
      <c r="Q144" s="15" t="n">
        <f aca="false">IFERROR(INDEX(Rates!$D$5:$D$84,MATCH(M144,Rates!$A$5:$A$84,0)),0)</f>
        <v>0.03</v>
      </c>
      <c r="R144" s="12" t="n">
        <f aca="false">O144*(1+Q144)</f>
        <v>12.62677</v>
      </c>
      <c r="S144" s="16" t="n">
        <f aca="false">IFERROR(INDEX(Rates!$E$5:$E$84,MATCH(M144,Rates!$A$5:$A$84,0)),0)</f>
        <v>1560</v>
      </c>
      <c r="T144" s="7" t="n">
        <f aca="false">R144*S144</f>
        <v>19697.7612</v>
      </c>
      <c r="U144" s="17" t="str">
        <f aca="false">IF(M144="BRK",R144/2000,IF(OR(M144="SNDC",M144="SNDM",M144="CRS",M144="KHG",M144="EARTH"),R144/100,""))</f>
        <v/>
      </c>
    </row>
    <row r="145" customFormat="false" ht="15" hidden="false" customHeight="false" outlineLevel="0" collapsed="false">
      <c r="A145" s="6" t="s">
        <v>490</v>
      </c>
      <c r="B145" s="6" t="s">
        <v>491</v>
      </c>
      <c r="C145" s="6" t="s">
        <v>541</v>
      </c>
      <c r="D145" s="9"/>
      <c r="E145" s="9"/>
      <c r="F145" s="9"/>
      <c r="G145" s="9"/>
      <c r="H145" s="12"/>
      <c r="I145" s="6"/>
      <c r="J145" s="6" t="s">
        <v>503</v>
      </c>
      <c r="K145" s="6" t="s">
        <v>540</v>
      </c>
      <c r="L145" s="6"/>
      <c r="M145" s="6" t="s">
        <v>69</v>
      </c>
      <c r="N145" s="13" t="str">
        <f aca="false">IFERROR(INDEX(Rates!$B$5:$B$84,MATCH(M145,Rates!$A$5:$A$84,0)),"")</f>
        <v>Chenab sand (concrete, screed)</v>
      </c>
      <c r="O145" s="12" t="n">
        <v>30.6476</v>
      </c>
      <c r="P145" s="14" t="str">
        <f aca="false">IFERROR(INDEX(Rates!$C$5:$C$84,MATCH(M145,Rates!$A$5:$A$84,0)),"")</f>
        <v>cft</v>
      </c>
      <c r="Q145" s="15" t="n">
        <f aca="false">IFERROR(INDEX(Rates!$D$5:$D$84,MATCH(M145,Rates!$A$5:$A$84,0)),0)</f>
        <v>0.08</v>
      </c>
      <c r="R145" s="12" t="n">
        <f aca="false">O145*(1+Q145)</f>
        <v>33.099408</v>
      </c>
      <c r="S145" s="16" t="n">
        <f aca="false">IFERROR(INDEX(Rates!$E$5:$E$84,MATCH(M145,Rates!$A$5:$A$84,0)),0)</f>
        <v>65</v>
      </c>
      <c r="T145" s="7" t="n">
        <f aca="false">R145*S145</f>
        <v>2151.46152</v>
      </c>
      <c r="U145" s="17" t="n">
        <f aca="false">IF(M145="BRK",R145/2000,IF(OR(M145="SNDC",M145="SNDM",M145="CRS",M145="KHG",M145="EARTH"),R145/100,""))</f>
        <v>0.33099408</v>
      </c>
    </row>
    <row r="146" customFormat="false" ht="15" hidden="false" customHeight="false" outlineLevel="0" collapsed="false">
      <c r="A146" s="6" t="s">
        <v>490</v>
      </c>
      <c r="B146" s="6" t="s">
        <v>491</v>
      </c>
      <c r="C146" s="6" t="s">
        <v>541</v>
      </c>
      <c r="D146" s="9"/>
      <c r="E146" s="9"/>
      <c r="F146" s="9"/>
      <c r="G146" s="9"/>
      <c r="H146" s="12"/>
      <c r="I146" s="6"/>
      <c r="J146" s="6" t="s">
        <v>503</v>
      </c>
      <c r="K146" s="6" t="s">
        <v>540</v>
      </c>
      <c r="L146" s="6"/>
      <c r="M146" s="6" t="s">
        <v>79</v>
      </c>
      <c r="N146" s="13" t="str">
        <f aca="false">IFERROR(INDEX(Rates!$B$5:$B$84,MATCH(M146,Rates!$A$5:$A$84,0)),"")</f>
        <v>Crush ¾" down, Sargodha (bajri)</v>
      </c>
      <c r="O146" s="12" t="n">
        <v>61.2952</v>
      </c>
      <c r="P146" s="14" t="str">
        <f aca="false">IFERROR(INDEX(Rates!$C$5:$C$84,MATCH(M146,Rates!$A$5:$A$84,0)),"")</f>
        <v>cft</v>
      </c>
      <c r="Q146" s="15" t="n">
        <f aca="false">IFERROR(INDEX(Rates!$D$5:$D$84,MATCH(M146,Rates!$A$5:$A$84,0)),0)</f>
        <v>0.05</v>
      </c>
      <c r="R146" s="12" t="n">
        <f aca="false">O146*(1+Q146)</f>
        <v>64.35996</v>
      </c>
      <c r="S146" s="16" t="n">
        <f aca="false">IFERROR(INDEX(Rates!$E$5:$E$84,MATCH(M146,Rates!$A$5:$A$84,0)),0)</f>
        <v>110</v>
      </c>
      <c r="T146" s="7" t="n">
        <f aca="false">R146*S146</f>
        <v>7079.5956</v>
      </c>
      <c r="U146" s="17" t="n">
        <f aca="false">IF(M146="BRK",R146/2000,IF(OR(M146="SNDC",M146="SNDM",M146="CRS",M146="KHG",M146="EARTH"),R146/100,""))</f>
        <v>0.6435996</v>
      </c>
    </row>
    <row r="147" customFormat="false" ht="15" hidden="false" customHeight="false" outlineLevel="0" collapsed="false">
      <c r="A147" s="6" t="s">
        <v>490</v>
      </c>
      <c r="B147" s="6" t="s">
        <v>491</v>
      </c>
      <c r="C147" s="6" t="s">
        <v>541</v>
      </c>
      <c r="D147" s="9"/>
      <c r="E147" s="9"/>
      <c r="F147" s="9"/>
      <c r="G147" s="9"/>
      <c r="H147" s="12"/>
      <c r="I147" s="6"/>
      <c r="J147" s="6" t="s">
        <v>503</v>
      </c>
      <c r="K147" s="6" t="s">
        <v>540</v>
      </c>
      <c r="L147" s="6"/>
      <c r="M147" s="6" t="s">
        <v>59</v>
      </c>
      <c r="N147" s="13" t="str">
        <f aca="false">IFERROR(INDEX(Rates!$B$5:$B$84,MATCH(M147,Rates!$A$5:$A$84,0)),"")</f>
        <v>Steel Grade 60 deformed, #4 (12 mm)</v>
      </c>
      <c r="O147" s="12" t="n">
        <v>181.4302</v>
      </c>
      <c r="P147" s="14" t="str">
        <f aca="false">IFERROR(INDEX(Rates!$C$5:$C$84,MATCH(M147,Rates!$A$5:$A$84,0)),"")</f>
        <v>kg</v>
      </c>
      <c r="Q147" s="15" t="n">
        <f aca="false">IFERROR(INDEX(Rates!$D$5:$D$84,MATCH(M147,Rates!$A$5:$A$84,0)),0)</f>
        <v>0.04</v>
      </c>
      <c r="R147" s="12" t="n">
        <f aca="false">O147*(1+Q147)</f>
        <v>188.687408</v>
      </c>
      <c r="S147" s="16" t="n">
        <f aca="false">IFERROR(INDEX(Rates!$E$5:$E$84,MATCH(M147,Rates!$A$5:$A$84,0)),0)</f>
        <v>262</v>
      </c>
      <c r="T147" s="7" t="n">
        <f aca="false">R147*S147</f>
        <v>49436.100896</v>
      </c>
      <c r="U147" s="17" t="str">
        <f aca="false">IF(M147="BRK",R147/2000,IF(OR(M147="SNDC",M147="SNDM",M147="CRS",M147="KHG",M147="EARTH"),R147/100,""))</f>
        <v/>
      </c>
    </row>
    <row r="148" customFormat="false" ht="22.35" hidden="false" customHeight="false" outlineLevel="0" collapsed="false">
      <c r="A148" s="6" t="s">
        <v>490</v>
      </c>
      <c r="B148" s="6" t="s">
        <v>491</v>
      </c>
      <c r="C148" s="6" t="s">
        <v>541</v>
      </c>
      <c r="D148" s="9"/>
      <c r="E148" s="9"/>
      <c r="F148" s="9"/>
      <c r="G148" s="9"/>
      <c r="H148" s="12"/>
      <c r="I148" s="6"/>
      <c r="J148" s="6" t="s">
        <v>503</v>
      </c>
      <c r="K148" s="6" t="s">
        <v>540</v>
      </c>
      <c r="L148" s="6"/>
      <c r="M148" s="6" t="s">
        <v>56</v>
      </c>
      <c r="N148" s="13" t="str">
        <f aca="false">IFERROR(INDEX(Rates!$B$5:$B$84,MATCH(M148,Rates!$A$5:$A$84,0)),"")</f>
        <v>Steel Grade 60 deformed, #3 (10 mm) (Amreli / Mughal / FF Steel)</v>
      </c>
      <c r="O148" s="12" t="n">
        <v>92.8707</v>
      </c>
      <c r="P148" s="14" t="str">
        <f aca="false">IFERROR(INDEX(Rates!$C$5:$C$84,MATCH(M148,Rates!$A$5:$A$84,0)),"")</f>
        <v>kg</v>
      </c>
      <c r="Q148" s="15" t="n">
        <f aca="false">IFERROR(INDEX(Rates!$D$5:$D$84,MATCH(M148,Rates!$A$5:$A$84,0)),0)</f>
        <v>0.04</v>
      </c>
      <c r="R148" s="12" t="n">
        <f aca="false">O148*(1+Q148)</f>
        <v>96.585528</v>
      </c>
      <c r="S148" s="16" t="n">
        <f aca="false">IFERROR(INDEX(Rates!$E$5:$E$84,MATCH(M148,Rates!$A$5:$A$84,0)),0)</f>
        <v>262</v>
      </c>
      <c r="T148" s="7" t="n">
        <f aca="false">R148*S148</f>
        <v>25305.408336</v>
      </c>
      <c r="U148" s="17" t="str">
        <f aca="false">IF(M148="BRK",R148/2000,IF(OR(M148="SNDC",M148="SNDM",M148="CRS",M148="KHG",M148="EARTH"),R148/100,""))</f>
        <v/>
      </c>
    </row>
    <row r="149" customFormat="false" ht="22.35" hidden="false" customHeight="false" outlineLevel="0" collapsed="false">
      <c r="A149" s="6" t="s">
        <v>490</v>
      </c>
      <c r="B149" s="6" t="s">
        <v>491</v>
      </c>
      <c r="C149" s="6" t="s">
        <v>541</v>
      </c>
      <c r="D149" s="9"/>
      <c r="E149" s="9"/>
      <c r="F149" s="9"/>
      <c r="G149" s="9"/>
      <c r="H149" s="12"/>
      <c r="I149" s="6"/>
      <c r="J149" s="6" t="s">
        <v>503</v>
      </c>
      <c r="K149" s="6" t="s">
        <v>540</v>
      </c>
      <c r="L149" s="6"/>
      <c r="M149" s="6" t="s">
        <v>50</v>
      </c>
      <c r="N149" s="13" t="str">
        <f aca="false">IFERROR(INDEX(Rates!$B$5:$B$84,MATCH(M149,Rates!$A$5:$A$84,0)),"")</f>
        <v>Steel Grade 60 deformed, #2 (6 mm) rings</v>
      </c>
      <c r="O149" s="12" t="n">
        <v>12.3575</v>
      </c>
      <c r="P149" s="14" t="str">
        <f aca="false">IFERROR(INDEX(Rates!$C$5:$C$84,MATCH(M149,Rates!$A$5:$A$84,0)),"")</f>
        <v>kg</v>
      </c>
      <c r="Q149" s="15" t="n">
        <f aca="false">IFERROR(INDEX(Rates!$D$5:$D$84,MATCH(M149,Rates!$A$5:$A$84,0)),0)</f>
        <v>0.04</v>
      </c>
      <c r="R149" s="12" t="n">
        <f aca="false">O149*(1+Q149)</f>
        <v>12.8518</v>
      </c>
      <c r="S149" s="16" t="n">
        <f aca="false">IFERROR(INDEX(Rates!$E$5:$E$84,MATCH(M149,Rates!$A$5:$A$84,0)),0)</f>
        <v>270</v>
      </c>
      <c r="T149" s="7" t="n">
        <f aca="false">R149*S149</f>
        <v>3469.986</v>
      </c>
      <c r="U149" s="17" t="str">
        <f aca="false">IF(M149="BRK",R149/2000,IF(OR(M149="SNDC",M149="SNDM",M149="CRS",M149="KHG",M149="EARTH"),R149/100,""))</f>
        <v/>
      </c>
    </row>
    <row r="150" customFormat="false" ht="32.8" hidden="false" customHeight="false" outlineLevel="0" collapsed="false">
      <c r="A150" s="6" t="s">
        <v>490</v>
      </c>
      <c r="B150" s="6" t="s">
        <v>491</v>
      </c>
      <c r="C150" s="6" t="s">
        <v>545</v>
      </c>
      <c r="D150" s="9" t="s">
        <v>481</v>
      </c>
      <c r="E150" s="9" t="s">
        <v>546</v>
      </c>
      <c r="F150" s="9" t="s">
        <v>547</v>
      </c>
      <c r="G150" s="9" t="s">
        <v>548</v>
      </c>
      <c r="H150" s="12" t="n">
        <v>16.087</v>
      </c>
      <c r="I150" s="6" t="s">
        <v>71</v>
      </c>
      <c r="J150" s="6" t="s">
        <v>503</v>
      </c>
      <c r="K150" s="6" t="s">
        <v>540</v>
      </c>
      <c r="L150" s="6"/>
      <c r="M150" s="6" t="s">
        <v>37</v>
      </c>
      <c r="N150" s="13" t="str">
        <f aca="false">IFERROR(INDEX(Rates!$B$5:$B$84,MATCH(M150,Rates!$A$5:$A$84,0)),"")</f>
        <v>Cement OPC, 50 kg bag (Lucky / Bestway / Maple Leaf)</v>
      </c>
      <c r="O150" s="12" t="n">
        <v>2.8866</v>
      </c>
      <c r="P150" s="14" t="str">
        <f aca="false">IFERROR(INDEX(Rates!$C$5:$C$84,MATCH(M150,Rates!$A$5:$A$84,0)),"")</f>
        <v>bag</v>
      </c>
      <c r="Q150" s="15" t="n">
        <f aca="false">IFERROR(INDEX(Rates!$D$5:$D$84,MATCH(M150,Rates!$A$5:$A$84,0)),0)</f>
        <v>0.03</v>
      </c>
      <c r="R150" s="12" t="n">
        <f aca="false">O150*(1+Q150)</f>
        <v>2.973198</v>
      </c>
      <c r="S150" s="16" t="n">
        <f aca="false">IFERROR(INDEX(Rates!$E$5:$E$84,MATCH(M150,Rates!$A$5:$A$84,0)),0)</f>
        <v>1560</v>
      </c>
      <c r="T150" s="7" t="n">
        <f aca="false">R150*S150</f>
        <v>4638.18888</v>
      </c>
      <c r="U150" s="17" t="str">
        <f aca="false">IF(M150="BRK",R150/2000,IF(OR(M150="SNDC",M150="SNDM",M150="CRS",M150="KHG",M150="EARTH"),R150/100,""))</f>
        <v/>
      </c>
    </row>
    <row r="151" customFormat="false" ht="15" hidden="false" customHeight="false" outlineLevel="0" collapsed="false">
      <c r="A151" s="6" t="s">
        <v>490</v>
      </c>
      <c r="B151" s="6" t="s">
        <v>491</v>
      </c>
      <c r="C151" s="6" t="s">
        <v>545</v>
      </c>
      <c r="D151" s="9"/>
      <c r="E151" s="9"/>
      <c r="F151" s="9"/>
      <c r="G151" s="9"/>
      <c r="H151" s="12"/>
      <c r="I151" s="6"/>
      <c r="J151" s="6" t="s">
        <v>503</v>
      </c>
      <c r="K151" s="6" t="s">
        <v>540</v>
      </c>
      <c r="L151" s="6"/>
      <c r="M151" s="6" t="s">
        <v>69</v>
      </c>
      <c r="N151" s="13" t="str">
        <f aca="false">IFERROR(INDEX(Rates!$B$5:$B$84,MATCH(M151,Rates!$A$5:$A$84,0)),"")</f>
        <v>Chenab sand (concrete, screed)</v>
      </c>
      <c r="O151" s="12" t="n">
        <v>7.2164</v>
      </c>
      <c r="P151" s="14" t="str">
        <f aca="false">IFERROR(INDEX(Rates!$C$5:$C$84,MATCH(M151,Rates!$A$5:$A$84,0)),"")</f>
        <v>cft</v>
      </c>
      <c r="Q151" s="15" t="n">
        <f aca="false">IFERROR(INDEX(Rates!$D$5:$D$84,MATCH(M151,Rates!$A$5:$A$84,0)),0)</f>
        <v>0.08</v>
      </c>
      <c r="R151" s="12" t="n">
        <f aca="false">O151*(1+Q151)</f>
        <v>7.793712</v>
      </c>
      <c r="S151" s="16" t="n">
        <f aca="false">IFERROR(INDEX(Rates!$E$5:$E$84,MATCH(M151,Rates!$A$5:$A$84,0)),0)</f>
        <v>65</v>
      </c>
      <c r="T151" s="7" t="n">
        <f aca="false">R151*S151</f>
        <v>506.59128</v>
      </c>
      <c r="U151" s="17" t="n">
        <f aca="false">IF(M151="BRK",R151/2000,IF(OR(M151="SNDC",M151="SNDM",M151="CRS",M151="KHG",M151="EARTH"),R151/100,""))</f>
        <v>0.07793712</v>
      </c>
    </row>
    <row r="152" customFormat="false" ht="15" hidden="false" customHeight="false" outlineLevel="0" collapsed="false">
      <c r="A152" s="6" t="s">
        <v>490</v>
      </c>
      <c r="B152" s="6" t="s">
        <v>491</v>
      </c>
      <c r="C152" s="6" t="s">
        <v>545</v>
      </c>
      <c r="D152" s="9"/>
      <c r="E152" s="9"/>
      <c r="F152" s="9"/>
      <c r="G152" s="9"/>
      <c r="H152" s="12"/>
      <c r="I152" s="6"/>
      <c r="J152" s="6" t="s">
        <v>503</v>
      </c>
      <c r="K152" s="6" t="s">
        <v>540</v>
      </c>
      <c r="L152" s="6"/>
      <c r="M152" s="6" t="s">
        <v>79</v>
      </c>
      <c r="N152" s="13" t="str">
        <f aca="false">IFERROR(INDEX(Rates!$B$5:$B$84,MATCH(M152,Rates!$A$5:$A$84,0)),"")</f>
        <v>Crush ¾" down, Sargodha (bajri)</v>
      </c>
      <c r="O152" s="12" t="n">
        <v>14.4328</v>
      </c>
      <c r="P152" s="14" t="str">
        <f aca="false">IFERROR(INDEX(Rates!$C$5:$C$84,MATCH(M152,Rates!$A$5:$A$84,0)),"")</f>
        <v>cft</v>
      </c>
      <c r="Q152" s="15" t="n">
        <f aca="false">IFERROR(INDEX(Rates!$D$5:$D$84,MATCH(M152,Rates!$A$5:$A$84,0)),0)</f>
        <v>0.05</v>
      </c>
      <c r="R152" s="12" t="n">
        <f aca="false">O152*(1+Q152)</f>
        <v>15.15444</v>
      </c>
      <c r="S152" s="16" t="n">
        <f aca="false">IFERROR(INDEX(Rates!$E$5:$E$84,MATCH(M152,Rates!$A$5:$A$84,0)),0)</f>
        <v>110</v>
      </c>
      <c r="T152" s="7" t="n">
        <f aca="false">R152*S152</f>
        <v>1666.9884</v>
      </c>
      <c r="U152" s="17" t="n">
        <f aca="false">IF(M152="BRK",R152/2000,IF(OR(M152="SNDC",M152="SNDM",M152="CRS",M152="KHG",M152="EARTH"),R152/100,""))</f>
        <v>0.1515444</v>
      </c>
    </row>
    <row r="153" customFormat="false" ht="15" hidden="false" customHeight="false" outlineLevel="0" collapsed="false">
      <c r="A153" s="6" t="s">
        <v>490</v>
      </c>
      <c r="B153" s="6" t="s">
        <v>491</v>
      </c>
      <c r="C153" s="6" t="s">
        <v>545</v>
      </c>
      <c r="D153" s="9"/>
      <c r="E153" s="9"/>
      <c r="F153" s="9"/>
      <c r="G153" s="9"/>
      <c r="H153" s="12"/>
      <c r="I153" s="6"/>
      <c r="J153" s="6" t="s">
        <v>503</v>
      </c>
      <c r="K153" s="6" t="s">
        <v>540</v>
      </c>
      <c r="L153" s="6"/>
      <c r="M153" s="6" t="s">
        <v>59</v>
      </c>
      <c r="N153" s="13" t="str">
        <f aca="false">IFERROR(INDEX(Rates!$B$5:$B$84,MATCH(M153,Rates!$A$5:$A$84,0)),"")</f>
        <v>Steel Grade 60 deformed, #4 (12 mm)</v>
      </c>
      <c r="O153" s="12" t="n">
        <v>50.1768</v>
      </c>
      <c r="P153" s="14" t="str">
        <f aca="false">IFERROR(INDEX(Rates!$C$5:$C$84,MATCH(M153,Rates!$A$5:$A$84,0)),"")</f>
        <v>kg</v>
      </c>
      <c r="Q153" s="15" t="n">
        <f aca="false">IFERROR(INDEX(Rates!$D$5:$D$84,MATCH(M153,Rates!$A$5:$A$84,0)),0)</f>
        <v>0.04</v>
      </c>
      <c r="R153" s="12" t="n">
        <f aca="false">O153*(1+Q153)</f>
        <v>52.183872</v>
      </c>
      <c r="S153" s="16" t="n">
        <f aca="false">IFERROR(INDEX(Rates!$E$5:$E$84,MATCH(M153,Rates!$A$5:$A$84,0)),0)</f>
        <v>262</v>
      </c>
      <c r="T153" s="7" t="n">
        <f aca="false">R153*S153</f>
        <v>13672.174464</v>
      </c>
      <c r="U153" s="17" t="str">
        <f aca="false">IF(M153="BRK",R153/2000,IF(OR(M153="SNDC",M153="SNDM",M153="CRS",M153="KHG",M153="EARTH"),R153/100,""))</f>
        <v/>
      </c>
    </row>
    <row r="154" customFormat="false" ht="22.35" hidden="false" customHeight="false" outlineLevel="0" collapsed="false">
      <c r="A154" s="6" t="s">
        <v>490</v>
      </c>
      <c r="B154" s="6" t="s">
        <v>491</v>
      </c>
      <c r="C154" s="6" t="s">
        <v>545</v>
      </c>
      <c r="D154" s="9"/>
      <c r="E154" s="9"/>
      <c r="F154" s="9"/>
      <c r="G154" s="9"/>
      <c r="H154" s="12"/>
      <c r="I154" s="6"/>
      <c r="J154" s="6" t="s">
        <v>503</v>
      </c>
      <c r="K154" s="6" t="s">
        <v>540</v>
      </c>
      <c r="L154" s="6"/>
      <c r="M154" s="6" t="s">
        <v>56</v>
      </c>
      <c r="N154" s="13" t="str">
        <f aca="false">IFERROR(INDEX(Rates!$B$5:$B$84,MATCH(M154,Rates!$A$5:$A$84,0)),"")</f>
        <v>Steel Grade 60 deformed, #3 (10 mm) (Amreli / Mughal / FF Steel)</v>
      </c>
      <c r="O154" s="12" t="n">
        <v>16.0297</v>
      </c>
      <c r="P154" s="14" t="str">
        <f aca="false">IFERROR(INDEX(Rates!$C$5:$C$84,MATCH(M154,Rates!$A$5:$A$84,0)),"")</f>
        <v>kg</v>
      </c>
      <c r="Q154" s="15" t="n">
        <f aca="false">IFERROR(INDEX(Rates!$D$5:$D$84,MATCH(M154,Rates!$A$5:$A$84,0)),0)</f>
        <v>0.04</v>
      </c>
      <c r="R154" s="12" t="n">
        <f aca="false">O154*(1+Q154)</f>
        <v>16.670888</v>
      </c>
      <c r="S154" s="16" t="n">
        <f aca="false">IFERROR(INDEX(Rates!$E$5:$E$84,MATCH(M154,Rates!$A$5:$A$84,0)),0)</f>
        <v>262</v>
      </c>
      <c r="T154" s="7" t="n">
        <f aca="false">R154*S154</f>
        <v>4367.772656</v>
      </c>
      <c r="U154" s="17" t="str">
        <f aca="false">IF(M154="BRK",R154/2000,IF(OR(M154="SNDC",M154="SNDM",M154="CRS",M154="KHG",M154="EARTH"),R154/100,""))</f>
        <v/>
      </c>
    </row>
    <row r="155" customFormat="false" ht="22.35" hidden="false" customHeight="false" outlineLevel="0" collapsed="false">
      <c r="A155" s="6" t="s">
        <v>490</v>
      </c>
      <c r="B155" s="6" t="s">
        <v>491</v>
      </c>
      <c r="C155" s="6" t="s">
        <v>545</v>
      </c>
      <c r="D155" s="9"/>
      <c r="E155" s="9"/>
      <c r="F155" s="9"/>
      <c r="G155" s="9"/>
      <c r="H155" s="12"/>
      <c r="I155" s="6"/>
      <c r="J155" s="6" t="s">
        <v>503</v>
      </c>
      <c r="K155" s="6" t="s">
        <v>540</v>
      </c>
      <c r="L155" s="6"/>
      <c r="M155" s="6" t="s">
        <v>50</v>
      </c>
      <c r="N155" s="13" t="str">
        <f aca="false">IFERROR(INDEX(Rates!$B$5:$B$84,MATCH(M155,Rates!$A$5:$A$84,0)),"")</f>
        <v>Steel Grade 60 deformed, #2 (6 mm) rings</v>
      </c>
      <c r="O155" s="12" t="n">
        <v>6.846</v>
      </c>
      <c r="P155" s="14" t="str">
        <f aca="false">IFERROR(INDEX(Rates!$C$5:$C$84,MATCH(M155,Rates!$A$5:$A$84,0)),"")</f>
        <v>kg</v>
      </c>
      <c r="Q155" s="15" t="n">
        <f aca="false">IFERROR(INDEX(Rates!$D$5:$D$84,MATCH(M155,Rates!$A$5:$A$84,0)),0)</f>
        <v>0.04</v>
      </c>
      <c r="R155" s="12" t="n">
        <f aca="false">O155*(1+Q155)</f>
        <v>7.11984</v>
      </c>
      <c r="S155" s="16" t="n">
        <f aca="false">IFERROR(INDEX(Rates!$E$5:$E$84,MATCH(M155,Rates!$A$5:$A$84,0)),0)</f>
        <v>270</v>
      </c>
      <c r="T155" s="7" t="n">
        <f aca="false">R155*S155</f>
        <v>1922.3568</v>
      </c>
      <c r="U155" s="17" t="str">
        <f aca="false">IF(M155="BRK",R155/2000,IF(OR(M155="SNDC",M155="SNDM",M155="CRS",M155="KHG",M155="EARTH"),R155/100,""))</f>
        <v/>
      </c>
    </row>
    <row r="156" customFormat="false" ht="22.35" hidden="false" customHeight="false" outlineLevel="0" collapsed="false">
      <c r="A156" s="6" t="s">
        <v>490</v>
      </c>
      <c r="B156" s="6" t="s">
        <v>491</v>
      </c>
      <c r="C156" s="6" t="s">
        <v>549</v>
      </c>
      <c r="D156" s="9" t="s">
        <v>499</v>
      </c>
      <c r="E156" s="9" t="s">
        <v>550</v>
      </c>
      <c r="F156" s="9" t="s">
        <v>551</v>
      </c>
      <c r="G156" s="9" t="s">
        <v>552</v>
      </c>
      <c r="H156" s="12" t="n">
        <v>5.062</v>
      </c>
      <c r="I156" s="6" t="s">
        <v>71</v>
      </c>
      <c r="J156" s="6" t="s">
        <v>503</v>
      </c>
      <c r="K156" s="6" t="s">
        <v>553</v>
      </c>
      <c r="L156" s="6"/>
      <c r="M156" s="6" t="s">
        <v>37</v>
      </c>
      <c r="N156" s="13" t="str">
        <f aca="false">IFERROR(INDEX(Rates!$B$5:$B$84,MATCH(M156,Rates!$A$5:$A$84,0)),"")</f>
        <v>Cement OPC, 50 kg bag (Lucky / Bestway / Maple Leaf)</v>
      </c>
      <c r="O156" s="12" t="n">
        <v>0.9084</v>
      </c>
      <c r="P156" s="14" t="str">
        <f aca="false">IFERROR(INDEX(Rates!$C$5:$C$84,MATCH(M156,Rates!$A$5:$A$84,0)),"")</f>
        <v>bag</v>
      </c>
      <c r="Q156" s="15" t="n">
        <f aca="false">IFERROR(INDEX(Rates!$D$5:$D$84,MATCH(M156,Rates!$A$5:$A$84,0)),0)</f>
        <v>0.03</v>
      </c>
      <c r="R156" s="12" t="n">
        <f aca="false">O156*(1+Q156)</f>
        <v>0.935652</v>
      </c>
      <c r="S156" s="16" t="n">
        <f aca="false">IFERROR(INDEX(Rates!$E$5:$E$84,MATCH(M156,Rates!$A$5:$A$84,0)),0)</f>
        <v>1560</v>
      </c>
      <c r="T156" s="7" t="n">
        <f aca="false">R156*S156</f>
        <v>1459.61712</v>
      </c>
      <c r="U156" s="17" t="str">
        <f aca="false">IF(M156="BRK",R156/2000,IF(OR(M156="SNDC",M156="SNDM",M156="CRS",M156="KHG",M156="EARTH"),R156/100,""))</f>
        <v/>
      </c>
    </row>
    <row r="157" customFormat="false" ht="15" hidden="false" customHeight="false" outlineLevel="0" collapsed="false">
      <c r="A157" s="6" t="s">
        <v>490</v>
      </c>
      <c r="B157" s="6" t="s">
        <v>491</v>
      </c>
      <c r="C157" s="6" t="s">
        <v>549</v>
      </c>
      <c r="D157" s="9"/>
      <c r="E157" s="9"/>
      <c r="F157" s="9"/>
      <c r="G157" s="9"/>
      <c r="H157" s="12"/>
      <c r="I157" s="6"/>
      <c r="J157" s="6" t="s">
        <v>503</v>
      </c>
      <c r="K157" s="6" t="s">
        <v>553</v>
      </c>
      <c r="L157" s="6"/>
      <c r="M157" s="6" t="s">
        <v>69</v>
      </c>
      <c r="N157" s="13" t="str">
        <f aca="false">IFERROR(INDEX(Rates!$B$5:$B$84,MATCH(M157,Rates!$A$5:$A$84,0)),"")</f>
        <v>Chenab sand (concrete, screed)</v>
      </c>
      <c r="O157" s="12" t="n">
        <v>2.2709</v>
      </c>
      <c r="P157" s="14" t="str">
        <f aca="false">IFERROR(INDEX(Rates!$C$5:$C$84,MATCH(M157,Rates!$A$5:$A$84,0)),"")</f>
        <v>cft</v>
      </c>
      <c r="Q157" s="15" t="n">
        <f aca="false">IFERROR(INDEX(Rates!$D$5:$D$84,MATCH(M157,Rates!$A$5:$A$84,0)),0)</f>
        <v>0.08</v>
      </c>
      <c r="R157" s="12" t="n">
        <f aca="false">O157*(1+Q157)</f>
        <v>2.452572</v>
      </c>
      <c r="S157" s="16" t="n">
        <f aca="false">IFERROR(INDEX(Rates!$E$5:$E$84,MATCH(M157,Rates!$A$5:$A$84,0)),0)</f>
        <v>65</v>
      </c>
      <c r="T157" s="7" t="n">
        <f aca="false">R157*S157</f>
        <v>159.41718</v>
      </c>
      <c r="U157" s="17" t="n">
        <f aca="false">IF(M157="BRK",R157/2000,IF(OR(M157="SNDC",M157="SNDM",M157="CRS",M157="KHG",M157="EARTH"),R157/100,""))</f>
        <v>0.02452572</v>
      </c>
    </row>
    <row r="158" customFormat="false" ht="15" hidden="false" customHeight="false" outlineLevel="0" collapsed="false">
      <c r="A158" s="6" t="s">
        <v>490</v>
      </c>
      <c r="B158" s="6" t="s">
        <v>491</v>
      </c>
      <c r="C158" s="6" t="s">
        <v>549</v>
      </c>
      <c r="D158" s="9"/>
      <c r="E158" s="9"/>
      <c r="F158" s="9"/>
      <c r="G158" s="9"/>
      <c r="H158" s="12"/>
      <c r="I158" s="6"/>
      <c r="J158" s="6" t="s">
        <v>503</v>
      </c>
      <c r="K158" s="6" t="s">
        <v>553</v>
      </c>
      <c r="L158" s="6"/>
      <c r="M158" s="6" t="s">
        <v>79</v>
      </c>
      <c r="N158" s="13" t="str">
        <f aca="false">IFERROR(INDEX(Rates!$B$5:$B$84,MATCH(M158,Rates!$A$5:$A$84,0)),"")</f>
        <v>Crush ¾" down, Sargodha (bajri)</v>
      </c>
      <c r="O158" s="12" t="n">
        <v>4.5418</v>
      </c>
      <c r="P158" s="14" t="str">
        <f aca="false">IFERROR(INDEX(Rates!$C$5:$C$84,MATCH(M158,Rates!$A$5:$A$84,0)),"")</f>
        <v>cft</v>
      </c>
      <c r="Q158" s="15" t="n">
        <f aca="false">IFERROR(INDEX(Rates!$D$5:$D$84,MATCH(M158,Rates!$A$5:$A$84,0)),0)</f>
        <v>0.05</v>
      </c>
      <c r="R158" s="12" t="n">
        <f aca="false">O158*(1+Q158)</f>
        <v>4.76889</v>
      </c>
      <c r="S158" s="16" t="n">
        <f aca="false">IFERROR(INDEX(Rates!$E$5:$E$84,MATCH(M158,Rates!$A$5:$A$84,0)),0)</f>
        <v>110</v>
      </c>
      <c r="T158" s="7" t="n">
        <f aca="false">R158*S158</f>
        <v>524.5779</v>
      </c>
      <c r="U158" s="17" t="n">
        <f aca="false">IF(M158="BRK",R158/2000,IF(OR(M158="SNDC",M158="SNDM",M158="CRS",M158="KHG",M158="EARTH"),R158/100,""))</f>
        <v>0.0476889</v>
      </c>
    </row>
    <row r="159" customFormat="false" ht="15" hidden="false" customHeight="false" outlineLevel="0" collapsed="false">
      <c r="A159" s="6" t="s">
        <v>490</v>
      </c>
      <c r="B159" s="6" t="s">
        <v>491</v>
      </c>
      <c r="C159" s="6" t="s">
        <v>549</v>
      </c>
      <c r="D159" s="9"/>
      <c r="E159" s="9"/>
      <c r="F159" s="9"/>
      <c r="G159" s="9"/>
      <c r="H159" s="12"/>
      <c r="I159" s="6"/>
      <c r="J159" s="6" t="s">
        <v>503</v>
      </c>
      <c r="K159" s="6" t="s">
        <v>553</v>
      </c>
      <c r="L159" s="6"/>
      <c r="M159" s="6" t="s">
        <v>59</v>
      </c>
      <c r="N159" s="13" t="str">
        <f aca="false">IFERROR(INDEX(Rates!$B$5:$B$84,MATCH(M159,Rates!$A$5:$A$84,0)),"")</f>
        <v>Steel Grade 60 deformed, #4 (12 mm)</v>
      </c>
      <c r="O159" s="12" t="n">
        <v>22.4977</v>
      </c>
      <c r="P159" s="14" t="str">
        <f aca="false">IFERROR(INDEX(Rates!$C$5:$C$84,MATCH(M159,Rates!$A$5:$A$84,0)),"")</f>
        <v>kg</v>
      </c>
      <c r="Q159" s="15" t="n">
        <f aca="false">IFERROR(INDEX(Rates!$D$5:$D$84,MATCH(M159,Rates!$A$5:$A$84,0)),0)</f>
        <v>0.04</v>
      </c>
      <c r="R159" s="12" t="n">
        <f aca="false">O159*(1+Q159)</f>
        <v>23.397608</v>
      </c>
      <c r="S159" s="16" t="n">
        <f aca="false">IFERROR(INDEX(Rates!$E$5:$E$84,MATCH(M159,Rates!$A$5:$A$84,0)),0)</f>
        <v>262</v>
      </c>
      <c r="T159" s="7" t="n">
        <f aca="false">R159*S159</f>
        <v>6130.173296</v>
      </c>
      <c r="U159" s="17" t="str">
        <f aca="false">IF(M159="BRK",R159/2000,IF(OR(M159="SNDC",M159="SNDM",M159="CRS",M159="KHG",M159="EARTH"),R159/100,""))</f>
        <v/>
      </c>
    </row>
    <row r="160" customFormat="false" ht="22.35" hidden="false" customHeight="false" outlineLevel="0" collapsed="false">
      <c r="A160" s="6" t="s">
        <v>490</v>
      </c>
      <c r="B160" s="6" t="s">
        <v>491</v>
      </c>
      <c r="C160" s="6" t="s">
        <v>554</v>
      </c>
      <c r="D160" s="9" t="s">
        <v>506</v>
      </c>
      <c r="E160" s="9" t="s">
        <v>555</v>
      </c>
      <c r="F160" s="9" t="s">
        <v>556</v>
      </c>
      <c r="G160" s="9" t="s">
        <v>557</v>
      </c>
      <c r="H160" s="12" t="n">
        <v>6.75</v>
      </c>
      <c r="I160" s="6" t="s">
        <v>71</v>
      </c>
      <c r="J160" s="6" t="s">
        <v>503</v>
      </c>
      <c r="K160" s="6" t="s">
        <v>553</v>
      </c>
      <c r="L160" s="6"/>
      <c r="M160" s="6" t="s">
        <v>37</v>
      </c>
      <c r="N160" s="13" t="str">
        <f aca="false">IFERROR(INDEX(Rates!$B$5:$B$84,MATCH(M160,Rates!$A$5:$A$84,0)),"")</f>
        <v>Cement OPC, 50 kg bag (Lucky / Bestway / Maple Leaf)</v>
      </c>
      <c r="O160" s="12" t="n">
        <v>1.2111</v>
      </c>
      <c r="P160" s="14" t="str">
        <f aca="false">IFERROR(INDEX(Rates!$C$5:$C$84,MATCH(M160,Rates!$A$5:$A$84,0)),"")</f>
        <v>bag</v>
      </c>
      <c r="Q160" s="15" t="n">
        <f aca="false">IFERROR(INDEX(Rates!$D$5:$D$84,MATCH(M160,Rates!$A$5:$A$84,0)),0)</f>
        <v>0.03</v>
      </c>
      <c r="R160" s="12" t="n">
        <f aca="false">O160*(1+Q160)</f>
        <v>1.247433</v>
      </c>
      <c r="S160" s="16" t="n">
        <f aca="false">IFERROR(INDEX(Rates!$E$5:$E$84,MATCH(M160,Rates!$A$5:$A$84,0)),0)</f>
        <v>1560</v>
      </c>
      <c r="T160" s="7" t="n">
        <f aca="false">R160*S160</f>
        <v>1945.99548</v>
      </c>
      <c r="U160" s="17" t="str">
        <f aca="false">IF(M160="BRK",R160/2000,IF(OR(M160="SNDC",M160="SNDM",M160="CRS",M160="KHG",M160="EARTH"),R160/100,""))</f>
        <v/>
      </c>
    </row>
    <row r="161" customFormat="false" ht="15" hidden="false" customHeight="false" outlineLevel="0" collapsed="false">
      <c r="A161" s="6" t="s">
        <v>490</v>
      </c>
      <c r="B161" s="6" t="s">
        <v>491</v>
      </c>
      <c r="C161" s="6" t="s">
        <v>554</v>
      </c>
      <c r="D161" s="9"/>
      <c r="E161" s="9"/>
      <c r="F161" s="9"/>
      <c r="G161" s="9"/>
      <c r="H161" s="12"/>
      <c r="I161" s="6"/>
      <c r="J161" s="6" t="s">
        <v>503</v>
      </c>
      <c r="K161" s="6" t="s">
        <v>553</v>
      </c>
      <c r="L161" s="6"/>
      <c r="M161" s="6" t="s">
        <v>69</v>
      </c>
      <c r="N161" s="13" t="str">
        <f aca="false">IFERROR(INDEX(Rates!$B$5:$B$84,MATCH(M161,Rates!$A$5:$A$84,0)),"")</f>
        <v>Chenab sand (concrete, screed)</v>
      </c>
      <c r="O161" s="12" t="n">
        <v>3.0279</v>
      </c>
      <c r="P161" s="14" t="str">
        <f aca="false">IFERROR(INDEX(Rates!$C$5:$C$84,MATCH(M161,Rates!$A$5:$A$84,0)),"")</f>
        <v>cft</v>
      </c>
      <c r="Q161" s="15" t="n">
        <f aca="false">IFERROR(INDEX(Rates!$D$5:$D$84,MATCH(M161,Rates!$A$5:$A$84,0)),0)</f>
        <v>0.08</v>
      </c>
      <c r="R161" s="12" t="n">
        <f aca="false">O161*(1+Q161)</f>
        <v>3.270132</v>
      </c>
      <c r="S161" s="16" t="n">
        <f aca="false">IFERROR(INDEX(Rates!$E$5:$E$84,MATCH(M161,Rates!$A$5:$A$84,0)),0)</f>
        <v>65</v>
      </c>
      <c r="T161" s="7" t="n">
        <f aca="false">R161*S161</f>
        <v>212.55858</v>
      </c>
      <c r="U161" s="17" t="n">
        <f aca="false">IF(M161="BRK",R161/2000,IF(OR(M161="SNDC",M161="SNDM",M161="CRS",M161="KHG",M161="EARTH"),R161/100,""))</f>
        <v>0.03270132</v>
      </c>
    </row>
    <row r="162" customFormat="false" ht="15" hidden="false" customHeight="false" outlineLevel="0" collapsed="false">
      <c r="A162" s="6" t="s">
        <v>490</v>
      </c>
      <c r="B162" s="6" t="s">
        <v>491</v>
      </c>
      <c r="C162" s="6" t="s">
        <v>554</v>
      </c>
      <c r="D162" s="9"/>
      <c r="E162" s="9"/>
      <c r="F162" s="9"/>
      <c r="G162" s="9"/>
      <c r="H162" s="12"/>
      <c r="I162" s="6"/>
      <c r="J162" s="6" t="s">
        <v>503</v>
      </c>
      <c r="K162" s="6" t="s">
        <v>553</v>
      </c>
      <c r="L162" s="6"/>
      <c r="M162" s="6" t="s">
        <v>79</v>
      </c>
      <c r="N162" s="13" t="str">
        <f aca="false">IFERROR(INDEX(Rates!$B$5:$B$84,MATCH(M162,Rates!$A$5:$A$84,0)),"")</f>
        <v>Crush ¾" down, Sargodha (bajri)</v>
      </c>
      <c r="O162" s="12" t="n">
        <v>6.0557</v>
      </c>
      <c r="P162" s="14" t="str">
        <f aca="false">IFERROR(INDEX(Rates!$C$5:$C$84,MATCH(M162,Rates!$A$5:$A$84,0)),"")</f>
        <v>cft</v>
      </c>
      <c r="Q162" s="15" t="n">
        <f aca="false">IFERROR(INDEX(Rates!$D$5:$D$84,MATCH(M162,Rates!$A$5:$A$84,0)),0)</f>
        <v>0.05</v>
      </c>
      <c r="R162" s="12" t="n">
        <f aca="false">O162*(1+Q162)</f>
        <v>6.358485</v>
      </c>
      <c r="S162" s="16" t="n">
        <f aca="false">IFERROR(INDEX(Rates!$E$5:$E$84,MATCH(M162,Rates!$A$5:$A$84,0)),0)</f>
        <v>110</v>
      </c>
      <c r="T162" s="7" t="n">
        <f aca="false">R162*S162</f>
        <v>699.43335</v>
      </c>
      <c r="U162" s="17" t="n">
        <f aca="false">IF(M162="BRK",R162/2000,IF(OR(M162="SNDC",M162="SNDM",M162="CRS",M162="KHG",M162="EARTH"),R162/100,""))</f>
        <v>0.06358485</v>
      </c>
    </row>
    <row r="163" customFormat="false" ht="15" hidden="false" customHeight="false" outlineLevel="0" collapsed="false">
      <c r="A163" s="6" t="s">
        <v>490</v>
      </c>
      <c r="B163" s="6" t="s">
        <v>491</v>
      </c>
      <c r="C163" s="6" t="s">
        <v>554</v>
      </c>
      <c r="D163" s="9"/>
      <c r="E163" s="9"/>
      <c r="F163" s="9"/>
      <c r="G163" s="9"/>
      <c r="H163" s="12"/>
      <c r="I163" s="6"/>
      <c r="J163" s="6" t="s">
        <v>503</v>
      </c>
      <c r="K163" s="6" t="s">
        <v>553</v>
      </c>
      <c r="L163" s="6"/>
      <c r="M163" s="6" t="s">
        <v>59</v>
      </c>
      <c r="N163" s="13" t="str">
        <f aca="false">IFERROR(INDEX(Rates!$B$5:$B$84,MATCH(M163,Rates!$A$5:$A$84,0)),"")</f>
        <v>Steel Grade 60 deformed, #4 (12 mm)</v>
      </c>
      <c r="O163" s="12" t="n">
        <v>29.997</v>
      </c>
      <c r="P163" s="14" t="str">
        <f aca="false">IFERROR(INDEX(Rates!$C$5:$C$84,MATCH(M163,Rates!$A$5:$A$84,0)),"")</f>
        <v>kg</v>
      </c>
      <c r="Q163" s="15" t="n">
        <f aca="false">IFERROR(INDEX(Rates!$D$5:$D$84,MATCH(M163,Rates!$A$5:$A$84,0)),0)</f>
        <v>0.04</v>
      </c>
      <c r="R163" s="12" t="n">
        <f aca="false">O163*(1+Q163)</f>
        <v>31.19688</v>
      </c>
      <c r="S163" s="16" t="n">
        <f aca="false">IFERROR(INDEX(Rates!$E$5:$E$84,MATCH(M163,Rates!$A$5:$A$84,0)),0)</f>
        <v>262</v>
      </c>
      <c r="T163" s="7" t="n">
        <f aca="false">R163*S163</f>
        <v>8173.58256</v>
      </c>
      <c r="U163" s="17" t="str">
        <f aca="false">IF(M163="BRK",R163/2000,IF(OR(M163="SNDC",M163="SNDM",M163="CRS",M163="KHG",M163="EARTH"),R163/100,""))</f>
        <v/>
      </c>
    </row>
    <row r="164" customFormat="false" ht="22.35" hidden="false" customHeight="false" outlineLevel="0" collapsed="false">
      <c r="A164" s="6" t="s">
        <v>490</v>
      </c>
      <c r="B164" s="6" t="s">
        <v>491</v>
      </c>
      <c r="C164" s="6" t="s">
        <v>558</v>
      </c>
      <c r="D164" s="9" t="s">
        <v>481</v>
      </c>
      <c r="E164" s="9" t="s">
        <v>559</v>
      </c>
      <c r="F164" s="9" t="s">
        <v>560</v>
      </c>
      <c r="G164" s="9" t="s">
        <v>561</v>
      </c>
      <c r="H164" s="12" t="n">
        <v>1.125</v>
      </c>
      <c r="I164" s="6" t="s">
        <v>71</v>
      </c>
      <c r="J164" s="6" t="s">
        <v>503</v>
      </c>
      <c r="K164" s="6" t="s">
        <v>553</v>
      </c>
      <c r="L164" s="6"/>
      <c r="M164" s="6" t="s">
        <v>37</v>
      </c>
      <c r="N164" s="13" t="str">
        <f aca="false">IFERROR(INDEX(Rates!$B$5:$B$84,MATCH(M164,Rates!$A$5:$A$84,0)),"")</f>
        <v>Cement OPC, 50 kg bag (Lucky / Bestway / Maple Leaf)</v>
      </c>
      <c r="O164" s="12" t="n">
        <v>0.2019</v>
      </c>
      <c r="P164" s="14" t="str">
        <f aca="false">IFERROR(INDEX(Rates!$C$5:$C$84,MATCH(M164,Rates!$A$5:$A$84,0)),"")</f>
        <v>bag</v>
      </c>
      <c r="Q164" s="15" t="n">
        <f aca="false">IFERROR(INDEX(Rates!$D$5:$D$84,MATCH(M164,Rates!$A$5:$A$84,0)),0)</f>
        <v>0.03</v>
      </c>
      <c r="R164" s="12" t="n">
        <f aca="false">O164*(1+Q164)</f>
        <v>0.207957</v>
      </c>
      <c r="S164" s="16" t="n">
        <f aca="false">IFERROR(INDEX(Rates!$E$5:$E$84,MATCH(M164,Rates!$A$5:$A$84,0)),0)</f>
        <v>1560</v>
      </c>
      <c r="T164" s="7" t="n">
        <f aca="false">R164*S164</f>
        <v>324.41292</v>
      </c>
      <c r="U164" s="17" t="str">
        <f aca="false">IF(M164="BRK",R164/2000,IF(OR(M164="SNDC",M164="SNDM",M164="CRS",M164="KHG",M164="EARTH"),R164/100,""))</f>
        <v/>
      </c>
    </row>
    <row r="165" customFormat="false" ht="15" hidden="false" customHeight="false" outlineLevel="0" collapsed="false">
      <c r="A165" s="6" t="s">
        <v>490</v>
      </c>
      <c r="B165" s="6" t="s">
        <v>491</v>
      </c>
      <c r="C165" s="6" t="s">
        <v>558</v>
      </c>
      <c r="D165" s="9"/>
      <c r="E165" s="9"/>
      <c r="F165" s="9"/>
      <c r="G165" s="9"/>
      <c r="H165" s="12"/>
      <c r="I165" s="6"/>
      <c r="J165" s="6" t="s">
        <v>503</v>
      </c>
      <c r="K165" s="6" t="s">
        <v>553</v>
      </c>
      <c r="L165" s="6"/>
      <c r="M165" s="6" t="s">
        <v>69</v>
      </c>
      <c r="N165" s="13" t="str">
        <f aca="false">IFERROR(INDEX(Rates!$B$5:$B$84,MATCH(M165,Rates!$A$5:$A$84,0)),"")</f>
        <v>Chenab sand (concrete, screed)</v>
      </c>
      <c r="O165" s="12" t="n">
        <v>0.5046</v>
      </c>
      <c r="P165" s="14" t="str">
        <f aca="false">IFERROR(INDEX(Rates!$C$5:$C$84,MATCH(M165,Rates!$A$5:$A$84,0)),"")</f>
        <v>cft</v>
      </c>
      <c r="Q165" s="15" t="n">
        <f aca="false">IFERROR(INDEX(Rates!$D$5:$D$84,MATCH(M165,Rates!$A$5:$A$84,0)),0)</f>
        <v>0.08</v>
      </c>
      <c r="R165" s="12" t="n">
        <f aca="false">O165*(1+Q165)</f>
        <v>0.544968</v>
      </c>
      <c r="S165" s="16" t="n">
        <f aca="false">IFERROR(INDEX(Rates!$E$5:$E$84,MATCH(M165,Rates!$A$5:$A$84,0)),0)</f>
        <v>65</v>
      </c>
      <c r="T165" s="7" t="n">
        <f aca="false">R165*S165</f>
        <v>35.42292</v>
      </c>
      <c r="U165" s="17" t="n">
        <f aca="false">IF(M165="BRK",R165/2000,IF(OR(M165="SNDC",M165="SNDM",M165="CRS",M165="KHG",M165="EARTH"),R165/100,""))</f>
        <v>0.00544968</v>
      </c>
    </row>
    <row r="166" customFormat="false" ht="15" hidden="false" customHeight="false" outlineLevel="0" collapsed="false">
      <c r="A166" s="6" t="s">
        <v>490</v>
      </c>
      <c r="B166" s="6" t="s">
        <v>491</v>
      </c>
      <c r="C166" s="6" t="s">
        <v>558</v>
      </c>
      <c r="D166" s="9"/>
      <c r="E166" s="9"/>
      <c r="F166" s="9"/>
      <c r="G166" s="9"/>
      <c r="H166" s="12"/>
      <c r="I166" s="6"/>
      <c r="J166" s="6" t="s">
        <v>503</v>
      </c>
      <c r="K166" s="6" t="s">
        <v>553</v>
      </c>
      <c r="L166" s="6"/>
      <c r="M166" s="6" t="s">
        <v>79</v>
      </c>
      <c r="N166" s="13" t="str">
        <f aca="false">IFERROR(INDEX(Rates!$B$5:$B$84,MATCH(M166,Rates!$A$5:$A$84,0)),"")</f>
        <v>Crush ¾" down, Sargodha (bajri)</v>
      </c>
      <c r="O166" s="12" t="n">
        <v>1.0093</v>
      </c>
      <c r="P166" s="14" t="str">
        <f aca="false">IFERROR(INDEX(Rates!$C$5:$C$84,MATCH(M166,Rates!$A$5:$A$84,0)),"")</f>
        <v>cft</v>
      </c>
      <c r="Q166" s="15" t="n">
        <f aca="false">IFERROR(INDEX(Rates!$D$5:$D$84,MATCH(M166,Rates!$A$5:$A$84,0)),0)</f>
        <v>0.05</v>
      </c>
      <c r="R166" s="12" t="n">
        <f aca="false">O166*(1+Q166)</f>
        <v>1.059765</v>
      </c>
      <c r="S166" s="16" t="n">
        <f aca="false">IFERROR(INDEX(Rates!$E$5:$E$84,MATCH(M166,Rates!$A$5:$A$84,0)),0)</f>
        <v>110</v>
      </c>
      <c r="T166" s="7" t="n">
        <f aca="false">R166*S166</f>
        <v>116.57415</v>
      </c>
      <c r="U166" s="17" t="n">
        <f aca="false">IF(M166="BRK",R166/2000,IF(OR(M166="SNDC",M166="SNDM",M166="CRS",M166="KHG",M166="EARTH"),R166/100,""))</f>
        <v>0.01059765</v>
      </c>
    </row>
    <row r="167" customFormat="false" ht="15" hidden="false" customHeight="false" outlineLevel="0" collapsed="false">
      <c r="A167" s="6" t="s">
        <v>490</v>
      </c>
      <c r="B167" s="6" t="s">
        <v>491</v>
      </c>
      <c r="C167" s="6" t="s">
        <v>558</v>
      </c>
      <c r="D167" s="9"/>
      <c r="E167" s="9"/>
      <c r="F167" s="9"/>
      <c r="G167" s="9"/>
      <c r="H167" s="12"/>
      <c r="I167" s="6"/>
      <c r="J167" s="6" t="s">
        <v>503</v>
      </c>
      <c r="K167" s="6" t="s">
        <v>553</v>
      </c>
      <c r="L167" s="6"/>
      <c r="M167" s="6" t="s">
        <v>59</v>
      </c>
      <c r="N167" s="13" t="str">
        <f aca="false">IFERROR(INDEX(Rates!$B$5:$B$84,MATCH(M167,Rates!$A$5:$A$84,0)),"")</f>
        <v>Steel Grade 60 deformed, #4 (12 mm)</v>
      </c>
      <c r="O167" s="12" t="n">
        <v>4.9995</v>
      </c>
      <c r="P167" s="14" t="str">
        <f aca="false">IFERROR(INDEX(Rates!$C$5:$C$84,MATCH(M167,Rates!$A$5:$A$84,0)),"")</f>
        <v>kg</v>
      </c>
      <c r="Q167" s="15" t="n">
        <f aca="false">IFERROR(INDEX(Rates!$D$5:$D$84,MATCH(M167,Rates!$A$5:$A$84,0)),0)</f>
        <v>0.04</v>
      </c>
      <c r="R167" s="12" t="n">
        <f aca="false">O167*(1+Q167)</f>
        <v>5.19948</v>
      </c>
      <c r="S167" s="16" t="n">
        <f aca="false">IFERROR(INDEX(Rates!$E$5:$E$84,MATCH(M167,Rates!$A$5:$A$84,0)),0)</f>
        <v>262</v>
      </c>
      <c r="T167" s="7" t="n">
        <f aca="false">R167*S167</f>
        <v>1362.26376</v>
      </c>
      <c r="U167" s="17" t="str">
        <f aca="false">IF(M167="BRK",R167/2000,IF(OR(M167="SNDC",M167="SNDM",M167="CRS",M167="KHG",M167="EARTH"),R167/100,""))</f>
        <v/>
      </c>
    </row>
    <row r="168" customFormat="false" ht="32.8" hidden="false" customHeight="false" outlineLevel="0" collapsed="false">
      <c r="A168" s="6" t="s">
        <v>490</v>
      </c>
      <c r="B168" s="6" t="s">
        <v>491</v>
      </c>
      <c r="C168" s="6" t="s">
        <v>562</v>
      </c>
      <c r="D168" s="9" t="s">
        <v>499</v>
      </c>
      <c r="E168" s="9" t="s">
        <v>563</v>
      </c>
      <c r="F168" s="9" t="s">
        <v>564</v>
      </c>
      <c r="G168" s="9" t="s">
        <v>565</v>
      </c>
      <c r="H168" s="12" t="n">
        <v>69.221</v>
      </c>
      <c r="I168" s="6" t="s">
        <v>71</v>
      </c>
      <c r="J168" s="6" t="s">
        <v>503</v>
      </c>
      <c r="K168" s="6" t="s">
        <v>566</v>
      </c>
      <c r="L168" s="6"/>
      <c r="M168" s="6" t="s">
        <v>37</v>
      </c>
      <c r="N168" s="13" t="str">
        <f aca="false">IFERROR(INDEX(Rates!$B$5:$B$84,MATCH(M168,Rates!$A$5:$A$84,0)),"")</f>
        <v>Cement OPC, 50 kg bag (Lucky / Bestway / Maple Leaf)</v>
      </c>
      <c r="O168" s="12" t="n">
        <v>12.4203</v>
      </c>
      <c r="P168" s="14" t="str">
        <f aca="false">IFERROR(INDEX(Rates!$C$5:$C$84,MATCH(M168,Rates!$A$5:$A$84,0)),"")</f>
        <v>bag</v>
      </c>
      <c r="Q168" s="15" t="n">
        <f aca="false">IFERROR(INDEX(Rates!$D$5:$D$84,MATCH(M168,Rates!$A$5:$A$84,0)),0)</f>
        <v>0.03</v>
      </c>
      <c r="R168" s="12" t="n">
        <f aca="false">O168*(1+Q168)</f>
        <v>12.792909</v>
      </c>
      <c r="S168" s="16" t="n">
        <f aca="false">IFERROR(INDEX(Rates!$E$5:$E$84,MATCH(M168,Rates!$A$5:$A$84,0)),0)</f>
        <v>1560</v>
      </c>
      <c r="T168" s="7" t="n">
        <f aca="false">R168*S168</f>
        <v>19956.93804</v>
      </c>
      <c r="U168" s="17" t="str">
        <f aca="false">IF(M168="BRK",R168/2000,IF(OR(M168="SNDC",M168="SNDM",M168="CRS",M168="KHG",M168="EARTH"),R168/100,""))</f>
        <v/>
      </c>
    </row>
    <row r="169" customFormat="false" ht="15" hidden="false" customHeight="false" outlineLevel="0" collapsed="false">
      <c r="A169" s="6" t="s">
        <v>490</v>
      </c>
      <c r="B169" s="6" t="s">
        <v>491</v>
      </c>
      <c r="C169" s="6" t="s">
        <v>562</v>
      </c>
      <c r="D169" s="9"/>
      <c r="E169" s="9"/>
      <c r="F169" s="9"/>
      <c r="G169" s="9"/>
      <c r="H169" s="12"/>
      <c r="I169" s="6"/>
      <c r="J169" s="6" t="s">
        <v>503</v>
      </c>
      <c r="K169" s="6" t="s">
        <v>566</v>
      </c>
      <c r="L169" s="6"/>
      <c r="M169" s="6" t="s">
        <v>69</v>
      </c>
      <c r="N169" s="13" t="str">
        <f aca="false">IFERROR(INDEX(Rates!$B$5:$B$84,MATCH(M169,Rates!$A$5:$A$84,0)),"")</f>
        <v>Chenab sand (concrete, screed)</v>
      </c>
      <c r="O169" s="12" t="n">
        <v>31.0507</v>
      </c>
      <c r="P169" s="14" t="str">
        <f aca="false">IFERROR(INDEX(Rates!$C$5:$C$84,MATCH(M169,Rates!$A$5:$A$84,0)),"")</f>
        <v>cft</v>
      </c>
      <c r="Q169" s="15" t="n">
        <f aca="false">IFERROR(INDEX(Rates!$D$5:$D$84,MATCH(M169,Rates!$A$5:$A$84,0)),0)</f>
        <v>0.08</v>
      </c>
      <c r="R169" s="12" t="n">
        <f aca="false">O169*(1+Q169)</f>
        <v>33.534756</v>
      </c>
      <c r="S169" s="16" t="n">
        <f aca="false">IFERROR(INDEX(Rates!$E$5:$E$84,MATCH(M169,Rates!$A$5:$A$84,0)),0)</f>
        <v>65</v>
      </c>
      <c r="T169" s="7" t="n">
        <f aca="false">R169*S169</f>
        <v>2179.75914</v>
      </c>
      <c r="U169" s="17" t="n">
        <f aca="false">IF(M169="BRK",R169/2000,IF(OR(M169="SNDC",M169="SNDM",M169="CRS",M169="KHG",M169="EARTH"),R169/100,""))</f>
        <v>0.33534756</v>
      </c>
    </row>
    <row r="170" customFormat="false" ht="15" hidden="false" customHeight="false" outlineLevel="0" collapsed="false">
      <c r="A170" s="6" t="s">
        <v>490</v>
      </c>
      <c r="B170" s="6" t="s">
        <v>491</v>
      </c>
      <c r="C170" s="6" t="s">
        <v>562</v>
      </c>
      <c r="D170" s="9"/>
      <c r="E170" s="9"/>
      <c r="F170" s="9"/>
      <c r="G170" s="9"/>
      <c r="H170" s="12"/>
      <c r="I170" s="6"/>
      <c r="J170" s="6" t="s">
        <v>503</v>
      </c>
      <c r="K170" s="6" t="s">
        <v>566</v>
      </c>
      <c r="L170" s="6"/>
      <c r="M170" s="6" t="s">
        <v>79</v>
      </c>
      <c r="N170" s="13" t="str">
        <f aca="false">IFERROR(INDEX(Rates!$B$5:$B$84,MATCH(M170,Rates!$A$5:$A$84,0)),"")</f>
        <v>Crush ¾" down, Sargodha (bajri)</v>
      </c>
      <c r="O170" s="12" t="n">
        <v>62.1015</v>
      </c>
      <c r="P170" s="14" t="str">
        <f aca="false">IFERROR(INDEX(Rates!$C$5:$C$84,MATCH(M170,Rates!$A$5:$A$84,0)),"")</f>
        <v>cft</v>
      </c>
      <c r="Q170" s="15" t="n">
        <f aca="false">IFERROR(INDEX(Rates!$D$5:$D$84,MATCH(M170,Rates!$A$5:$A$84,0)),0)</f>
        <v>0.05</v>
      </c>
      <c r="R170" s="12" t="n">
        <f aca="false">O170*(1+Q170)</f>
        <v>65.206575</v>
      </c>
      <c r="S170" s="16" t="n">
        <f aca="false">IFERROR(INDEX(Rates!$E$5:$E$84,MATCH(M170,Rates!$A$5:$A$84,0)),0)</f>
        <v>110</v>
      </c>
      <c r="T170" s="7" t="n">
        <f aca="false">R170*S170</f>
        <v>7172.72325</v>
      </c>
      <c r="U170" s="17" t="n">
        <f aca="false">IF(M170="BRK",R170/2000,IF(OR(M170="SNDC",M170="SNDM",M170="CRS",M170="KHG",M170="EARTH"),R170/100,""))</f>
        <v>0.65206575</v>
      </c>
    </row>
    <row r="171" customFormat="false" ht="15" hidden="false" customHeight="false" outlineLevel="0" collapsed="false">
      <c r="A171" s="6" t="s">
        <v>490</v>
      </c>
      <c r="B171" s="6" t="s">
        <v>491</v>
      </c>
      <c r="C171" s="6" t="s">
        <v>562</v>
      </c>
      <c r="D171" s="9"/>
      <c r="E171" s="9"/>
      <c r="F171" s="9"/>
      <c r="G171" s="9"/>
      <c r="H171" s="12"/>
      <c r="I171" s="6"/>
      <c r="J171" s="6" t="s">
        <v>503</v>
      </c>
      <c r="K171" s="6" t="s">
        <v>566</v>
      </c>
      <c r="L171" s="6"/>
      <c r="M171" s="6" t="s">
        <v>59</v>
      </c>
      <c r="N171" s="13" t="str">
        <f aca="false">IFERROR(INDEX(Rates!$B$5:$B$84,MATCH(M171,Rates!$A$5:$A$84,0)),"")</f>
        <v>Steel Grade 60 deformed, #4 (12 mm)</v>
      </c>
      <c r="O171" s="12" t="n">
        <v>235.0961</v>
      </c>
      <c r="P171" s="14" t="str">
        <f aca="false">IFERROR(INDEX(Rates!$C$5:$C$84,MATCH(M171,Rates!$A$5:$A$84,0)),"")</f>
        <v>kg</v>
      </c>
      <c r="Q171" s="15" t="n">
        <f aca="false">IFERROR(INDEX(Rates!$D$5:$D$84,MATCH(M171,Rates!$A$5:$A$84,0)),0)</f>
        <v>0.04</v>
      </c>
      <c r="R171" s="12" t="n">
        <f aca="false">O171*(1+Q171)</f>
        <v>244.499944</v>
      </c>
      <c r="S171" s="16" t="n">
        <f aca="false">IFERROR(INDEX(Rates!$E$5:$E$84,MATCH(M171,Rates!$A$5:$A$84,0)),0)</f>
        <v>262</v>
      </c>
      <c r="T171" s="7" t="n">
        <f aca="false">R171*S171</f>
        <v>64058.985328</v>
      </c>
      <c r="U171" s="17" t="str">
        <f aca="false">IF(M171="BRK",R171/2000,IF(OR(M171="SNDC",M171="SNDM",M171="CRS",M171="KHG",M171="EARTH"),R171/100,""))</f>
        <v/>
      </c>
    </row>
    <row r="172" customFormat="false" ht="22.35" hidden="false" customHeight="false" outlineLevel="0" collapsed="false">
      <c r="A172" s="6" t="s">
        <v>490</v>
      </c>
      <c r="B172" s="6" t="s">
        <v>491</v>
      </c>
      <c r="C172" s="6" t="s">
        <v>562</v>
      </c>
      <c r="D172" s="9"/>
      <c r="E172" s="9"/>
      <c r="F172" s="9"/>
      <c r="G172" s="9"/>
      <c r="H172" s="12"/>
      <c r="I172" s="6"/>
      <c r="J172" s="6" t="s">
        <v>503</v>
      </c>
      <c r="K172" s="6" t="s">
        <v>566</v>
      </c>
      <c r="L172" s="6"/>
      <c r="M172" s="6" t="s">
        <v>56</v>
      </c>
      <c r="N172" s="13" t="str">
        <f aca="false">IFERROR(INDEX(Rates!$B$5:$B$84,MATCH(M172,Rates!$A$5:$A$84,0)),"")</f>
        <v>Steel Grade 60 deformed, #3 (10 mm) (Amreli / Mughal / FF Steel)</v>
      </c>
      <c r="O172" s="12" t="n">
        <v>48.3938</v>
      </c>
      <c r="P172" s="14" t="str">
        <f aca="false">IFERROR(INDEX(Rates!$C$5:$C$84,MATCH(M172,Rates!$A$5:$A$84,0)),"")</f>
        <v>kg</v>
      </c>
      <c r="Q172" s="15" t="n">
        <f aca="false">IFERROR(INDEX(Rates!$D$5:$D$84,MATCH(M172,Rates!$A$5:$A$84,0)),0)</f>
        <v>0.04</v>
      </c>
      <c r="R172" s="12" t="n">
        <f aca="false">O172*(1+Q172)</f>
        <v>50.329552</v>
      </c>
      <c r="S172" s="16" t="n">
        <f aca="false">IFERROR(INDEX(Rates!$E$5:$E$84,MATCH(M172,Rates!$A$5:$A$84,0)),0)</f>
        <v>262</v>
      </c>
      <c r="T172" s="7" t="n">
        <f aca="false">R172*S172</f>
        <v>13186.342624</v>
      </c>
      <c r="U172" s="17" t="str">
        <f aca="false">IF(M172="BRK",R172/2000,IF(OR(M172="SNDC",M172="SNDM",M172="CRS",M172="KHG",M172="EARTH"),R172/100,""))</f>
        <v/>
      </c>
    </row>
    <row r="173" customFormat="false" ht="32.8" hidden="false" customHeight="false" outlineLevel="0" collapsed="false">
      <c r="A173" s="6" t="s">
        <v>490</v>
      </c>
      <c r="B173" s="6" t="s">
        <v>491</v>
      </c>
      <c r="C173" s="6" t="s">
        <v>567</v>
      </c>
      <c r="D173" s="9" t="s">
        <v>506</v>
      </c>
      <c r="E173" s="9" t="s">
        <v>568</v>
      </c>
      <c r="F173" s="9" t="s">
        <v>564</v>
      </c>
      <c r="G173" s="9" t="s">
        <v>565</v>
      </c>
      <c r="H173" s="12" t="n">
        <v>69.221</v>
      </c>
      <c r="I173" s="6" t="s">
        <v>71</v>
      </c>
      <c r="J173" s="6" t="s">
        <v>503</v>
      </c>
      <c r="K173" s="6" t="s">
        <v>566</v>
      </c>
      <c r="L173" s="6"/>
      <c r="M173" s="6" t="s">
        <v>37</v>
      </c>
      <c r="N173" s="13" t="str">
        <f aca="false">IFERROR(INDEX(Rates!$B$5:$B$84,MATCH(M173,Rates!$A$5:$A$84,0)),"")</f>
        <v>Cement OPC, 50 kg bag (Lucky / Bestway / Maple Leaf)</v>
      </c>
      <c r="O173" s="12" t="n">
        <v>12.4203</v>
      </c>
      <c r="P173" s="14" t="str">
        <f aca="false">IFERROR(INDEX(Rates!$C$5:$C$84,MATCH(M173,Rates!$A$5:$A$84,0)),"")</f>
        <v>bag</v>
      </c>
      <c r="Q173" s="15" t="n">
        <f aca="false">IFERROR(INDEX(Rates!$D$5:$D$84,MATCH(M173,Rates!$A$5:$A$84,0)),0)</f>
        <v>0.03</v>
      </c>
      <c r="R173" s="12" t="n">
        <f aca="false">O173*(1+Q173)</f>
        <v>12.792909</v>
      </c>
      <c r="S173" s="16" t="n">
        <f aca="false">IFERROR(INDEX(Rates!$E$5:$E$84,MATCH(M173,Rates!$A$5:$A$84,0)),0)</f>
        <v>1560</v>
      </c>
      <c r="T173" s="7" t="n">
        <f aca="false">R173*S173</f>
        <v>19956.93804</v>
      </c>
      <c r="U173" s="17" t="str">
        <f aca="false">IF(M173="BRK",R173/2000,IF(OR(M173="SNDC",M173="SNDM",M173="CRS",M173="KHG",M173="EARTH"),R173/100,""))</f>
        <v/>
      </c>
    </row>
    <row r="174" customFormat="false" ht="15" hidden="false" customHeight="false" outlineLevel="0" collapsed="false">
      <c r="A174" s="6" t="s">
        <v>490</v>
      </c>
      <c r="B174" s="6" t="s">
        <v>491</v>
      </c>
      <c r="C174" s="6" t="s">
        <v>567</v>
      </c>
      <c r="D174" s="9"/>
      <c r="E174" s="9"/>
      <c r="F174" s="9"/>
      <c r="G174" s="9"/>
      <c r="H174" s="12"/>
      <c r="I174" s="6"/>
      <c r="J174" s="6" t="s">
        <v>503</v>
      </c>
      <c r="K174" s="6" t="s">
        <v>566</v>
      </c>
      <c r="L174" s="6"/>
      <c r="M174" s="6" t="s">
        <v>69</v>
      </c>
      <c r="N174" s="13" t="str">
        <f aca="false">IFERROR(INDEX(Rates!$B$5:$B$84,MATCH(M174,Rates!$A$5:$A$84,0)),"")</f>
        <v>Chenab sand (concrete, screed)</v>
      </c>
      <c r="O174" s="12" t="n">
        <v>31.0507</v>
      </c>
      <c r="P174" s="14" t="str">
        <f aca="false">IFERROR(INDEX(Rates!$C$5:$C$84,MATCH(M174,Rates!$A$5:$A$84,0)),"")</f>
        <v>cft</v>
      </c>
      <c r="Q174" s="15" t="n">
        <f aca="false">IFERROR(INDEX(Rates!$D$5:$D$84,MATCH(M174,Rates!$A$5:$A$84,0)),0)</f>
        <v>0.08</v>
      </c>
      <c r="R174" s="12" t="n">
        <f aca="false">O174*(1+Q174)</f>
        <v>33.534756</v>
      </c>
      <c r="S174" s="16" t="n">
        <f aca="false">IFERROR(INDEX(Rates!$E$5:$E$84,MATCH(M174,Rates!$A$5:$A$84,0)),0)</f>
        <v>65</v>
      </c>
      <c r="T174" s="7" t="n">
        <f aca="false">R174*S174</f>
        <v>2179.75914</v>
      </c>
      <c r="U174" s="17" t="n">
        <f aca="false">IF(M174="BRK",R174/2000,IF(OR(M174="SNDC",M174="SNDM",M174="CRS",M174="KHG",M174="EARTH"),R174/100,""))</f>
        <v>0.33534756</v>
      </c>
    </row>
    <row r="175" customFormat="false" ht="15" hidden="false" customHeight="false" outlineLevel="0" collapsed="false">
      <c r="A175" s="6" t="s">
        <v>490</v>
      </c>
      <c r="B175" s="6" t="s">
        <v>491</v>
      </c>
      <c r="C175" s="6" t="s">
        <v>567</v>
      </c>
      <c r="D175" s="9"/>
      <c r="E175" s="9"/>
      <c r="F175" s="9"/>
      <c r="G175" s="9"/>
      <c r="H175" s="12"/>
      <c r="I175" s="6"/>
      <c r="J175" s="6" t="s">
        <v>503</v>
      </c>
      <c r="K175" s="6" t="s">
        <v>566</v>
      </c>
      <c r="L175" s="6"/>
      <c r="M175" s="6" t="s">
        <v>79</v>
      </c>
      <c r="N175" s="13" t="str">
        <f aca="false">IFERROR(INDEX(Rates!$B$5:$B$84,MATCH(M175,Rates!$A$5:$A$84,0)),"")</f>
        <v>Crush ¾" down, Sargodha (bajri)</v>
      </c>
      <c r="O175" s="12" t="n">
        <v>62.1015</v>
      </c>
      <c r="P175" s="14" t="str">
        <f aca="false">IFERROR(INDEX(Rates!$C$5:$C$84,MATCH(M175,Rates!$A$5:$A$84,0)),"")</f>
        <v>cft</v>
      </c>
      <c r="Q175" s="15" t="n">
        <f aca="false">IFERROR(INDEX(Rates!$D$5:$D$84,MATCH(M175,Rates!$A$5:$A$84,0)),0)</f>
        <v>0.05</v>
      </c>
      <c r="R175" s="12" t="n">
        <f aca="false">O175*(1+Q175)</f>
        <v>65.206575</v>
      </c>
      <c r="S175" s="16" t="n">
        <f aca="false">IFERROR(INDEX(Rates!$E$5:$E$84,MATCH(M175,Rates!$A$5:$A$84,0)),0)</f>
        <v>110</v>
      </c>
      <c r="T175" s="7" t="n">
        <f aca="false">R175*S175</f>
        <v>7172.72325</v>
      </c>
      <c r="U175" s="17" t="n">
        <f aca="false">IF(M175="BRK",R175/2000,IF(OR(M175="SNDC",M175="SNDM",M175="CRS",M175="KHG",M175="EARTH"),R175/100,""))</f>
        <v>0.65206575</v>
      </c>
    </row>
    <row r="176" customFormat="false" ht="15" hidden="false" customHeight="false" outlineLevel="0" collapsed="false">
      <c r="A176" s="6" t="s">
        <v>490</v>
      </c>
      <c r="B176" s="6" t="s">
        <v>491</v>
      </c>
      <c r="C176" s="6" t="s">
        <v>567</v>
      </c>
      <c r="D176" s="9"/>
      <c r="E176" s="9"/>
      <c r="F176" s="9"/>
      <c r="G176" s="9"/>
      <c r="H176" s="12"/>
      <c r="I176" s="6"/>
      <c r="J176" s="6" t="s">
        <v>503</v>
      </c>
      <c r="K176" s="6" t="s">
        <v>566</v>
      </c>
      <c r="L176" s="6"/>
      <c r="M176" s="6" t="s">
        <v>59</v>
      </c>
      <c r="N176" s="13" t="str">
        <f aca="false">IFERROR(INDEX(Rates!$B$5:$B$84,MATCH(M176,Rates!$A$5:$A$84,0)),"")</f>
        <v>Steel Grade 60 deformed, #4 (12 mm)</v>
      </c>
      <c r="O176" s="12" t="n">
        <v>235.0961</v>
      </c>
      <c r="P176" s="14" t="str">
        <f aca="false">IFERROR(INDEX(Rates!$C$5:$C$84,MATCH(M176,Rates!$A$5:$A$84,0)),"")</f>
        <v>kg</v>
      </c>
      <c r="Q176" s="15" t="n">
        <f aca="false">IFERROR(INDEX(Rates!$D$5:$D$84,MATCH(M176,Rates!$A$5:$A$84,0)),0)</f>
        <v>0.04</v>
      </c>
      <c r="R176" s="12" t="n">
        <f aca="false">O176*(1+Q176)</f>
        <v>244.499944</v>
      </c>
      <c r="S176" s="16" t="n">
        <f aca="false">IFERROR(INDEX(Rates!$E$5:$E$84,MATCH(M176,Rates!$A$5:$A$84,0)),0)</f>
        <v>262</v>
      </c>
      <c r="T176" s="7" t="n">
        <f aca="false">R176*S176</f>
        <v>64058.985328</v>
      </c>
      <c r="U176" s="17" t="str">
        <f aca="false">IF(M176="BRK",R176/2000,IF(OR(M176="SNDC",M176="SNDM",M176="CRS",M176="KHG",M176="EARTH"),R176/100,""))</f>
        <v/>
      </c>
    </row>
    <row r="177" customFormat="false" ht="22.35" hidden="false" customHeight="false" outlineLevel="0" collapsed="false">
      <c r="A177" s="6" t="s">
        <v>490</v>
      </c>
      <c r="B177" s="6" t="s">
        <v>491</v>
      </c>
      <c r="C177" s="6" t="s">
        <v>567</v>
      </c>
      <c r="D177" s="9"/>
      <c r="E177" s="9"/>
      <c r="F177" s="9"/>
      <c r="G177" s="9"/>
      <c r="H177" s="12"/>
      <c r="I177" s="6"/>
      <c r="J177" s="6" t="s">
        <v>503</v>
      </c>
      <c r="K177" s="6" t="s">
        <v>566</v>
      </c>
      <c r="L177" s="6"/>
      <c r="M177" s="6" t="s">
        <v>56</v>
      </c>
      <c r="N177" s="13" t="str">
        <f aca="false">IFERROR(INDEX(Rates!$B$5:$B$84,MATCH(M177,Rates!$A$5:$A$84,0)),"")</f>
        <v>Steel Grade 60 deformed, #3 (10 mm) (Amreli / Mughal / FF Steel)</v>
      </c>
      <c r="O177" s="12" t="n">
        <v>48.3938</v>
      </c>
      <c r="P177" s="14" t="str">
        <f aca="false">IFERROR(INDEX(Rates!$C$5:$C$84,MATCH(M177,Rates!$A$5:$A$84,0)),"")</f>
        <v>kg</v>
      </c>
      <c r="Q177" s="15" t="n">
        <f aca="false">IFERROR(INDEX(Rates!$D$5:$D$84,MATCH(M177,Rates!$A$5:$A$84,0)),0)</f>
        <v>0.04</v>
      </c>
      <c r="R177" s="12" t="n">
        <f aca="false">O177*(1+Q177)</f>
        <v>50.329552</v>
      </c>
      <c r="S177" s="16" t="n">
        <f aca="false">IFERROR(INDEX(Rates!$E$5:$E$84,MATCH(M177,Rates!$A$5:$A$84,0)),0)</f>
        <v>262</v>
      </c>
      <c r="T177" s="7" t="n">
        <f aca="false">R177*S177</f>
        <v>13186.342624</v>
      </c>
      <c r="U177" s="17" t="str">
        <f aca="false">IF(M177="BRK",R177/2000,IF(OR(M177="SNDC",M177="SNDM",M177="CRS",M177="KHG",M177="EARTH"),R177/100,""))</f>
        <v/>
      </c>
    </row>
    <row r="178" customFormat="false" ht="22.35" hidden="false" customHeight="false" outlineLevel="0" collapsed="false">
      <c r="A178" s="6" t="s">
        <v>490</v>
      </c>
      <c r="B178" s="6" t="s">
        <v>491</v>
      </c>
      <c r="C178" s="6" t="s">
        <v>569</v>
      </c>
      <c r="D178" s="9" t="s">
        <v>570</v>
      </c>
      <c r="E178" s="9" t="s">
        <v>571</v>
      </c>
      <c r="F178" s="9" t="s">
        <v>572</v>
      </c>
      <c r="G178" s="9" t="s">
        <v>573</v>
      </c>
      <c r="H178" s="12" t="n">
        <v>12.505</v>
      </c>
      <c r="I178" s="6" t="s">
        <v>71</v>
      </c>
      <c r="J178" s="6" t="s">
        <v>503</v>
      </c>
      <c r="K178" s="6" t="s">
        <v>566</v>
      </c>
      <c r="L178" s="6"/>
      <c r="M178" s="6" t="s">
        <v>37</v>
      </c>
      <c r="N178" s="13" t="str">
        <f aca="false">IFERROR(INDEX(Rates!$B$5:$B$84,MATCH(M178,Rates!$A$5:$A$84,0)),"")</f>
        <v>Cement OPC, 50 kg bag (Lucky / Bestway / Maple Leaf)</v>
      </c>
      <c r="O178" s="12" t="n">
        <v>2.2437</v>
      </c>
      <c r="P178" s="14" t="str">
        <f aca="false">IFERROR(INDEX(Rates!$C$5:$C$84,MATCH(M178,Rates!$A$5:$A$84,0)),"")</f>
        <v>bag</v>
      </c>
      <c r="Q178" s="15" t="n">
        <f aca="false">IFERROR(INDEX(Rates!$D$5:$D$84,MATCH(M178,Rates!$A$5:$A$84,0)),0)</f>
        <v>0.03</v>
      </c>
      <c r="R178" s="12" t="n">
        <f aca="false">O178*(1+Q178)</f>
        <v>2.311011</v>
      </c>
      <c r="S178" s="16" t="n">
        <f aca="false">IFERROR(INDEX(Rates!$E$5:$E$84,MATCH(M178,Rates!$A$5:$A$84,0)),0)</f>
        <v>1560</v>
      </c>
      <c r="T178" s="7" t="n">
        <f aca="false">R178*S178</f>
        <v>3605.17716</v>
      </c>
      <c r="U178" s="17" t="str">
        <f aca="false">IF(M178="BRK",R178/2000,IF(OR(M178="SNDC",M178="SNDM",M178="CRS",M178="KHG",M178="EARTH"),R178/100,""))</f>
        <v/>
      </c>
    </row>
    <row r="179" customFormat="false" ht="15" hidden="false" customHeight="false" outlineLevel="0" collapsed="false">
      <c r="A179" s="6" t="s">
        <v>490</v>
      </c>
      <c r="B179" s="6" t="s">
        <v>491</v>
      </c>
      <c r="C179" s="6" t="s">
        <v>569</v>
      </c>
      <c r="D179" s="9"/>
      <c r="E179" s="9"/>
      <c r="F179" s="9"/>
      <c r="G179" s="9"/>
      <c r="H179" s="12"/>
      <c r="I179" s="6"/>
      <c r="J179" s="6" t="s">
        <v>503</v>
      </c>
      <c r="K179" s="6" t="s">
        <v>566</v>
      </c>
      <c r="L179" s="6"/>
      <c r="M179" s="6" t="s">
        <v>69</v>
      </c>
      <c r="N179" s="13" t="str">
        <f aca="false">IFERROR(INDEX(Rates!$B$5:$B$84,MATCH(M179,Rates!$A$5:$A$84,0)),"")</f>
        <v>Chenab sand (concrete, screed)</v>
      </c>
      <c r="O179" s="12" t="n">
        <v>5.6092</v>
      </c>
      <c r="P179" s="14" t="str">
        <f aca="false">IFERROR(INDEX(Rates!$C$5:$C$84,MATCH(M179,Rates!$A$5:$A$84,0)),"")</f>
        <v>cft</v>
      </c>
      <c r="Q179" s="15" t="n">
        <f aca="false">IFERROR(INDEX(Rates!$D$5:$D$84,MATCH(M179,Rates!$A$5:$A$84,0)),0)</f>
        <v>0.08</v>
      </c>
      <c r="R179" s="12" t="n">
        <f aca="false">O179*(1+Q179)</f>
        <v>6.057936</v>
      </c>
      <c r="S179" s="16" t="n">
        <f aca="false">IFERROR(INDEX(Rates!$E$5:$E$84,MATCH(M179,Rates!$A$5:$A$84,0)),0)</f>
        <v>65</v>
      </c>
      <c r="T179" s="7" t="n">
        <f aca="false">R179*S179</f>
        <v>393.76584</v>
      </c>
      <c r="U179" s="17" t="n">
        <f aca="false">IF(M179="BRK",R179/2000,IF(OR(M179="SNDC",M179="SNDM",M179="CRS",M179="KHG",M179="EARTH"),R179/100,""))</f>
        <v>0.06057936</v>
      </c>
    </row>
    <row r="180" customFormat="false" ht="15" hidden="false" customHeight="false" outlineLevel="0" collapsed="false">
      <c r="A180" s="6" t="s">
        <v>490</v>
      </c>
      <c r="B180" s="6" t="s">
        <v>491</v>
      </c>
      <c r="C180" s="6" t="s">
        <v>569</v>
      </c>
      <c r="D180" s="9"/>
      <c r="E180" s="9"/>
      <c r="F180" s="9"/>
      <c r="G180" s="9"/>
      <c r="H180" s="12"/>
      <c r="I180" s="6"/>
      <c r="J180" s="6" t="s">
        <v>503</v>
      </c>
      <c r="K180" s="6" t="s">
        <v>566</v>
      </c>
      <c r="L180" s="6"/>
      <c r="M180" s="6" t="s">
        <v>79</v>
      </c>
      <c r="N180" s="13" t="str">
        <f aca="false">IFERROR(INDEX(Rates!$B$5:$B$84,MATCH(M180,Rates!$A$5:$A$84,0)),"")</f>
        <v>Crush ¾" down, Sargodha (bajri)</v>
      </c>
      <c r="O180" s="12" t="n">
        <v>11.2183</v>
      </c>
      <c r="P180" s="14" t="str">
        <f aca="false">IFERROR(INDEX(Rates!$C$5:$C$84,MATCH(M180,Rates!$A$5:$A$84,0)),"")</f>
        <v>cft</v>
      </c>
      <c r="Q180" s="15" t="n">
        <f aca="false">IFERROR(INDEX(Rates!$D$5:$D$84,MATCH(M180,Rates!$A$5:$A$84,0)),0)</f>
        <v>0.05</v>
      </c>
      <c r="R180" s="12" t="n">
        <f aca="false">O180*(1+Q180)</f>
        <v>11.779215</v>
      </c>
      <c r="S180" s="16" t="n">
        <f aca="false">IFERROR(INDEX(Rates!$E$5:$E$84,MATCH(M180,Rates!$A$5:$A$84,0)),0)</f>
        <v>110</v>
      </c>
      <c r="T180" s="7" t="n">
        <f aca="false">R180*S180</f>
        <v>1295.71365</v>
      </c>
      <c r="U180" s="17" t="n">
        <f aca="false">IF(M180="BRK",R180/2000,IF(OR(M180="SNDC",M180="SNDM",M180="CRS",M180="KHG",M180="EARTH"),R180/100,""))</f>
        <v>0.11779215</v>
      </c>
    </row>
    <row r="181" customFormat="false" ht="15" hidden="false" customHeight="false" outlineLevel="0" collapsed="false">
      <c r="A181" s="6" t="s">
        <v>490</v>
      </c>
      <c r="B181" s="6" t="s">
        <v>491</v>
      </c>
      <c r="C181" s="6" t="s">
        <v>569</v>
      </c>
      <c r="D181" s="9"/>
      <c r="E181" s="9"/>
      <c r="F181" s="9"/>
      <c r="G181" s="9"/>
      <c r="H181" s="12"/>
      <c r="I181" s="6"/>
      <c r="J181" s="6" t="s">
        <v>503</v>
      </c>
      <c r="K181" s="6" t="s">
        <v>566</v>
      </c>
      <c r="L181" s="6"/>
      <c r="M181" s="6" t="s">
        <v>59</v>
      </c>
      <c r="N181" s="13" t="str">
        <f aca="false">IFERROR(INDEX(Rates!$B$5:$B$84,MATCH(M181,Rates!$A$5:$A$84,0)),"")</f>
        <v>Steel Grade 60 deformed, #4 (12 mm)</v>
      </c>
      <c r="O181" s="12" t="n">
        <v>54.7672</v>
      </c>
      <c r="P181" s="14" t="str">
        <f aca="false">IFERROR(INDEX(Rates!$C$5:$C$84,MATCH(M181,Rates!$A$5:$A$84,0)),"")</f>
        <v>kg</v>
      </c>
      <c r="Q181" s="15" t="n">
        <f aca="false">IFERROR(INDEX(Rates!$D$5:$D$84,MATCH(M181,Rates!$A$5:$A$84,0)),0)</f>
        <v>0.04</v>
      </c>
      <c r="R181" s="12" t="n">
        <f aca="false">O181*(1+Q181)</f>
        <v>56.957888</v>
      </c>
      <c r="S181" s="16" t="n">
        <f aca="false">IFERROR(INDEX(Rates!$E$5:$E$84,MATCH(M181,Rates!$A$5:$A$84,0)),0)</f>
        <v>262</v>
      </c>
      <c r="T181" s="7" t="n">
        <f aca="false">R181*S181</f>
        <v>14922.966656</v>
      </c>
      <c r="U181" s="17" t="str">
        <f aca="false">IF(M181="BRK",R181/2000,IF(OR(M181="SNDC",M181="SNDM",M181="CRS",M181="KHG",M181="EARTH"),R181/100,""))</f>
        <v/>
      </c>
    </row>
    <row r="182" customFormat="false" ht="22.35" hidden="false" customHeight="false" outlineLevel="0" collapsed="false">
      <c r="A182" s="6" t="s">
        <v>490</v>
      </c>
      <c r="B182" s="6" t="s">
        <v>491</v>
      </c>
      <c r="C182" s="6" t="s">
        <v>574</v>
      </c>
      <c r="D182" s="9" t="s">
        <v>570</v>
      </c>
      <c r="E182" s="9" t="s">
        <v>575</v>
      </c>
      <c r="F182" s="9" t="s">
        <v>576</v>
      </c>
      <c r="G182" s="9" t="s">
        <v>577</v>
      </c>
      <c r="H182" s="12" t="n">
        <v>4.375</v>
      </c>
      <c r="I182" s="6" t="s">
        <v>71</v>
      </c>
      <c r="J182" s="6" t="s">
        <v>503</v>
      </c>
      <c r="K182" s="6" t="s">
        <v>566</v>
      </c>
      <c r="L182" s="6"/>
      <c r="M182" s="6" t="s">
        <v>37</v>
      </c>
      <c r="N182" s="13" t="str">
        <f aca="false">IFERROR(INDEX(Rates!$B$5:$B$84,MATCH(M182,Rates!$A$5:$A$84,0)),"")</f>
        <v>Cement OPC, 50 kg bag (Lucky / Bestway / Maple Leaf)</v>
      </c>
      <c r="O182" s="12" t="n">
        <v>0.4227</v>
      </c>
      <c r="P182" s="14" t="str">
        <f aca="false">IFERROR(INDEX(Rates!$C$5:$C$84,MATCH(M182,Rates!$A$5:$A$84,0)),"")</f>
        <v>bag</v>
      </c>
      <c r="Q182" s="15" t="n">
        <f aca="false">IFERROR(INDEX(Rates!$D$5:$D$84,MATCH(M182,Rates!$A$5:$A$84,0)),0)</f>
        <v>0.03</v>
      </c>
      <c r="R182" s="12" t="n">
        <f aca="false">O182*(1+Q182)</f>
        <v>0.435381</v>
      </c>
      <c r="S182" s="16" t="n">
        <f aca="false">IFERROR(INDEX(Rates!$E$5:$E$84,MATCH(M182,Rates!$A$5:$A$84,0)),0)</f>
        <v>1560</v>
      </c>
      <c r="T182" s="7" t="n">
        <f aca="false">R182*S182</f>
        <v>679.19436</v>
      </c>
      <c r="U182" s="17" t="str">
        <f aca="false">IF(M182="BRK",R182/2000,IF(OR(M182="SNDC",M182="SNDM",M182="CRS",M182="KHG",M182="EARTH"),R182/100,""))</f>
        <v/>
      </c>
    </row>
    <row r="183" customFormat="false" ht="15" hidden="false" customHeight="false" outlineLevel="0" collapsed="false">
      <c r="A183" s="6" t="s">
        <v>490</v>
      </c>
      <c r="B183" s="6" t="s">
        <v>491</v>
      </c>
      <c r="C183" s="6" t="s">
        <v>574</v>
      </c>
      <c r="D183" s="9"/>
      <c r="E183" s="9"/>
      <c r="F183" s="9"/>
      <c r="G183" s="9"/>
      <c r="H183" s="12"/>
      <c r="I183" s="6"/>
      <c r="J183" s="6" t="s">
        <v>503</v>
      </c>
      <c r="K183" s="6" t="s">
        <v>566</v>
      </c>
      <c r="L183" s="6"/>
      <c r="M183" s="6" t="s">
        <v>69</v>
      </c>
      <c r="N183" s="13" t="str">
        <f aca="false">IFERROR(INDEX(Rates!$B$5:$B$84,MATCH(M183,Rates!$A$5:$A$84,0)),"")</f>
        <v>Chenab sand (concrete, screed)</v>
      </c>
      <c r="O183" s="12" t="n">
        <v>2.1135</v>
      </c>
      <c r="P183" s="14" t="str">
        <f aca="false">IFERROR(INDEX(Rates!$C$5:$C$84,MATCH(M183,Rates!$A$5:$A$84,0)),"")</f>
        <v>cft</v>
      </c>
      <c r="Q183" s="15" t="n">
        <f aca="false">IFERROR(INDEX(Rates!$D$5:$D$84,MATCH(M183,Rates!$A$5:$A$84,0)),0)</f>
        <v>0.08</v>
      </c>
      <c r="R183" s="12" t="n">
        <f aca="false">O183*(1+Q183)</f>
        <v>2.28258</v>
      </c>
      <c r="S183" s="16" t="n">
        <f aca="false">IFERROR(INDEX(Rates!$E$5:$E$84,MATCH(M183,Rates!$A$5:$A$84,0)),0)</f>
        <v>65</v>
      </c>
      <c r="T183" s="7" t="n">
        <f aca="false">R183*S183</f>
        <v>148.3677</v>
      </c>
      <c r="U183" s="17" t="n">
        <f aca="false">IF(M183="BRK",R183/2000,IF(OR(M183="SNDC",M183="SNDM",M183="CRS",M183="KHG",M183="EARTH"),R183/100,""))</f>
        <v>0.0228258</v>
      </c>
    </row>
    <row r="184" customFormat="false" ht="15" hidden="false" customHeight="false" outlineLevel="0" collapsed="false">
      <c r="A184" s="6" t="s">
        <v>490</v>
      </c>
      <c r="B184" s="6" t="s">
        <v>491</v>
      </c>
      <c r="C184" s="6" t="s">
        <v>574</v>
      </c>
      <c r="D184" s="9"/>
      <c r="E184" s="9"/>
      <c r="F184" s="9"/>
      <c r="G184" s="9"/>
      <c r="H184" s="12"/>
      <c r="I184" s="6"/>
      <c r="J184" s="6" t="s">
        <v>503</v>
      </c>
      <c r="K184" s="6" t="s">
        <v>566</v>
      </c>
      <c r="L184" s="6"/>
      <c r="M184" s="6" t="s">
        <v>79</v>
      </c>
      <c r="N184" s="13" t="str">
        <f aca="false">IFERROR(INDEX(Rates!$B$5:$B$84,MATCH(M184,Rates!$A$5:$A$84,0)),"")</f>
        <v>Crush ¾" down, Sargodha (bajri)</v>
      </c>
      <c r="O184" s="12" t="n">
        <v>4.2269</v>
      </c>
      <c r="P184" s="14" t="str">
        <f aca="false">IFERROR(INDEX(Rates!$C$5:$C$84,MATCH(M184,Rates!$A$5:$A$84,0)),"")</f>
        <v>cft</v>
      </c>
      <c r="Q184" s="15" t="n">
        <f aca="false">IFERROR(INDEX(Rates!$D$5:$D$84,MATCH(M184,Rates!$A$5:$A$84,0)),0)</f>
        <v>0.05</v>
      </c>
      <c r="R184" s="12" t="n">
        <f aca="false">O184*(1+Q184)</f>
        <v>4.438245</v>
      </c>
      <c r="S184" s="16" t="n">
        <f aca="false">IFERROR(INDEX(Rates!$E$5:$E$84,MATCH(M184,Rates!$A$5:$A$84,0)),0)</f>
        <v>110</v>
      </c>
      <c r="T184" s="7" t="n">
        <f aca="false">R184*S184</f>
        <v>488.20695</v>
      </c>
      <c r="U184" s="17" t="n">
        <f aca="false">IF(M184="BRK",R184/2000,IF(OR(M184="SNDC",M184="SNDM",M184="CRS",M184="KHG",M184="EARTH"),R184/100,""))</f>
        <v>0.04438245</v>
      </c>
    </row>
    <row r="185" customFormat="false" ht="22.35" hidden="false" customHeight="false" outlineLevel="0" collapsed="false">
      <c r="A185" s="6" t="s">
        <v>490</v>
      </c>
      <c r="B185" s="6" t="s">
        <v>491</v>
      </c>
      <c r="C185" s="6" t="s">
        <v>578</v>
      </c>
      <c r="D185" s="9" t="s">
        <v>499</v>
      </c>
      <c r="E185" s="9" t="s">
        <v>579</v>
      </c>
      <c r="F185" s="9" t="s">
        <v>580</v>
      </c>
      <c r="G185" s="9" t="s">
        <v>581</v>
      </c>
      <c r="H185" s="12" t="n">
        <v>5.208</v>
      </c>
      <c r="I185" s="6" t="s">
        <v>71</v>
      </c>
      <c r="J185" s="6" t="s">
        <v>503</v>
      </c>
      <c r="K185" s="6" t="s">
        <v>582</v>
      </c>
      <c r="L185" s="6"/>
      <c r="M185" s="6" t="s">
        <v>37</v>
      </c>
      <c r="N185" s="13" t="str">
        <f aca="false">IFERROR(INDEX(Rates!$B$5:$B$84,MATCH(M185,Rates!$A$5:$A$84,0)),"")</f>
        <v>Cement OPC, 50 kg bag (Lucky / Bestway / Maple Leaf)</v>
      </c>
      <c r="O185" s="12" t="n">
        <v>0.9345</v>
      </c>
      <c r="P185" s="14" t="str">
        <f aca="false">IFERROR(INDEX(Rates!$C$5:$C$84,MATCH(M185,Rates!$A$5:$A$84,0)),"")</f>
        <v>bag</v>
      </c>
      <c r="Q185" s="15" t="n">
        <f aca="false">IFERROR(INDEX(Rates!$D$5:$D$84,MATCH(M185,Rates!$A$5:$A$84,0)),0)</f>
        <v>0.03</v>
      </c>
      <c r="R185" s="12" t="n">
        <f aca="false">O185*(1+Q185)</f>
        <v>0.962535</v>
      </c>
      <c r="S185" s="16" t="n">
        <f aca="false">IFERROR(INDEX(Rates!$E$5:$E$84,MATCH(M185,Rates!$A$5:$A$84,0)),0)</f>
        <v>1560</v>
      </c>
      <c r="T185" s="7" t="n">
        <f aca="false">R185*S185</f>
        <v>1501.5546</v>
      </c>
      <c r="U185" s="17" t="str">
        <f aca="false">IF(M185="BRK",R185/2000,IF(OR(M185="SNDC",M185="SNDM",M185="CRS",M185="KHG",M185="EARTH"),R185/100,""))</f>
        <v/>
      </c>
    </row>
    <row r="186" customFormat="false" ht="15" hidden="false" customHeight="false" outlineLevel="0" collapsed="false">
      <c r="A186" s="6" t="s">
        <v>490</v>
      </c>
      <c r="B186" s="6" t="s">
        <v>491</v>
      </c>
      <c r="C186" s="6" t="s">
        <v>578</v>
      </c>
      <c r="D186" s="9"/>
      <c r="E186" s="9"/>
      <c r="F186" s="9"/>
      <c r="G186" s="9"/>
      <c r="H186" s="12"/>
      <c r="I186" s="6"/>
      <c r="J186" s="6" t="s">
        <v>503</v>
      </c>
      <c r="K186" s="6" t="s">
        <v>582</v>
      </c>
      <c r="L186" s="6"/>
      <c r="M186" s="6" t="s">
        <v>69</v>
      </c>
      <c r="N186" s="13" t="str">
        <f aca="false">IFERROR(INDEX(Rates!$B$5:$B$84,MATCH(M186,Rates!$A$5:$A$84,0)),"")</f>
        <v>Chenab sand (concrete, screed)</v>
      </c>
      <c r="O186" s="12" t="n">
        <v>2.3363</v>
      </c>
      <c r="P186" s="14" t="str">
        <f aca="false">IFERROR(INDEX(Rates!$C$5:$C$84,MATCH(M186,Rates!$A$5:$A$84,0)),"")</f>
        <v>cft</v>
      </c>
      <c r="Q186" s="15" t="n">
        <f aca="false">IFERROR(INDEX(Rates!$D$5:$D$84,MATCH(M186,Rates!$A$5:$A$84,0)),0)</f>
        <v>0.08</v>
      </c>
      <c r="R186" s="12" t="n">
        <f aca="false">O186*(1+Q186)</f>
        <v>2.523204</v>
      </c>
      <c r="S186" s="16" t="n">
        <f aca="false">IFERROR(INDEX(Rates!$E$5:$E$84,MATCH(M186,Rates!$A$5:$A$84,0)),0)</f>
        <v>65</v>
      </c>
      <c r="T186" s="7" t="n">
        <f aca="false">R186*S186</f>
        <v>164.00826</v>
      </c>
      <c r="U186" s="17" t="n">
        <f aca="false">IF(M186="BRK",R186/2000,IF(OR(M186="SNDC",M186="SNDM",M186="CRS",M186="KHG",M186="EARTH"),R186/100,""))</f>
        <v>0.02523204</v>
      </c>
    </row>
    <row r="187" customFormat="false" ht="15" hidden="false" customHeight="false" outlineLevel="0" collapsed="false">
      <c r="A187" s="6" t="s">
        <v>490</v>
      </c>
      <c r="B187" s="6" t="s">
        <v>491</v>
      </c>
      <c r="C187" s="6" t="s">
        <v>578</v>
      </c>
      <c r="D187" s="9"/>
      <c r="E187" s="9"/>
      <c r="F187" s="9"/>
      <c r="G187" s="9"/>
      <c r="H187" s="12"/>
      <c r="I187" s="6"/>
      <c r="J187" s="6" t="s">
        <v>503</v>
      </c>
      <c r="K187" s="6" t="s">
        <v>582</v>
      </c>
      <c r="L187" s="6"/>
      <c r="M187" s="6" t="s">
        <v>79</v>
      </c>
      <c r="N187" s="13" t="str">
        <f aca="false">IFERROR(INDEX(Rates!$B$5:$B$84,MATCH(M187,Rates!$A$5:$A$84,0)),"")</f>
        <v>Crush ¾" down, Sargodha (bajri)</v>
      </c>
      <c r="O187" s="12" t="n">
        <v>4.6726</v>
      </c>
      <c r="P187" s="14" t="str">
        <f aca="false">IFERROR(INDEX(Rates!$C$5:$C$84,MATCH(M187,Rates!$A$5:$A$84,0)),"")</f>
        <v>cft</v>
      </c>
      <c r="Q187" s="15" t="n">
        <f aca="false">IFERROR(INDEX(Rates!$D$5:$D$84,MATCH(M187,Rates!$A$5:$A$84,0)),0)</f>
        <v>0.05</v>
      </c>
      <c r="R187" s="12" t="n">
        <f aca="false">O187*(1+Q187)</f>
        <v>4.90623</v>
      </c>
      <c r="S187" s="16" t="n">
        <f aca="false">IFERROR(INDEX(Rates!$E$5:$E$84,MATCH(M187,Rates!$A$5:$A$84,0)),0)</f>
        <v>110</v>
      </c>
      <c r="T187" s="7" t="n">
        <f aca="false">R187*S187</f>
        <v>539.6853</v>
      </c>
      <c r="U187" s="17" t="n">
        <f aca="false">IF(M187="BRK",R187/2000,IF(OR(M187="SNDC",M187="SNDM",M187="CRS",M187="KHG",M187="EARTH"),R187/100,""))</f>
        <v>0.0490623</v>
      </c>
    </row>
    <row r="188" customFormat="false" ht="22.35" hidden="false" customHeight="false" outlineLevel="0" collapsed="false">
      <c r="A188" s="6" t="s">
        <v>490</v>
      </c>
      <c r="B188" s="6" t="s">
        <v>491</v>
      </c>
      <c r="C188" s="6" t="s">
        <v>578</v>
      </c>
      <c r="D188" s="9"/>
      <c r="E188" s="9"/>
      <c r="F188" s="9"/>
      <c r="G188" s="9"/>
      <c r="H188" s="12"/>
      <c r="I188" s="6"/>
      <c r="J188" s="6" t="s">
        <v>503</v>
      </c>
      <c r="K188" s="6" t="s">
        <v>582</v>
      </c>
      <c r="L188" s="6"/>
      <c r="M188" s="6" t="s">
        <v>56</v>
      </c>
      <c r="N188" s="13" t="str">
        <f aca="false">IFERROR(INDEX(Rates!$B$5:$B$84,MATCH(M188,Rates!$A$5:$A$84,0)),"")</f>
        <v>Steel Grade 60 deformed, #3 (10 mm) (Amreli / Mughal / FF Steel)</v>
      </c>
      <c r="O188" s="12" t="n">
        <v>18.59</v>
      </c>
      <c r="P188" s="14" t="str">
        <f aca="false">IFERROR(INDEX(Rates!$C$5:$C$84,MATCH(M188,Rates!$A$5:$A$84,0)),"")</f>
        <v>kg</v>
      </c>
      <c r="Q188" s="15" t="n">
        <f aca="false">IFERROR(INDEX(Rates!$D$5:$D$84,MATCH(M188,Rates!$A$5:$A$84,0)),0)</f>
        <v>0.04</v>
      </c>
      <c r="R188" s="12" t="n">
        <f aca="false">O188*(1+Q188)</f>
        <v>19.3336</v>
      </c>
      <c r="S188" s="16" t="n">
        <f aca="false">IFERROR(INDEX(Rates!$E$5:$E$84,MATCH(M188,Rates!$A$5:$A$84,0)),0)</f>
        <v>262</v>
      </c>
      <c r="T188" s="7" t="n">
        <f aca="false">R188*S188</f>
        <v>5065.4032</v>
      </c>
      <c r="U188" s="17" t="str">
        <f aca="false">IF(M188="BRK",R188/2000,IF(OR(M188="SNDC",M188="SNDM",M188="CRS",M188="KHG",M188="EARTH"),R188/100,""))</f>
        <v/>
      </c>
    </row>
    <row r="189" customFormat="false" ht="22.35" hidden="false" customHeight="false" outlineLevel="0" collapsed="false">
      <c r="A189" s="6" t="s">
        <v>490</v>
      </c>
      <c r="B189" s="6" t="s">
        <v>491</v>
      </c>
      <c r="C189" s="6" t="s">
        <v>583</v>
      </c>
      <c r="D189" s="9" t="s">
        <v>506</v>
      </c>
      <c r="E189" s="9" t="s">
        <v>584</v>
      </c>
      <c r="F189" s="9" t="s">
        <v>585</v>
      </c>
      <c r="G189" s="9" t="s">
        <v>586</v>
      </c>
      <c r="H189" s="12" t="n">
        <v>3.333</v>
      </c>
      <c r="I189" s="6" t="s">
        <v>71</v>
      </c>
      <c r="J189" s="6" t="s">
        <v>503</v>
      </c>
      <c r="K189" s="6" t="s">
        <v>582</v>
      </c>
      <c r="L189" s="6"/>
      <c r="M189" s="6" t="s">
        <v>37</v>
      </c>
      <c r="N189" s="13" t="str">
        <f aca="false">IFERROR(INDEX(Rates!$B$5:$B$84,MATCH(M189,Rates!$A$5:$A$84,0)),"")</f>
        <v>Cement OPC, 50 kg bag (Lucky / Bestway / Maple Leaf)</v>
      </c>
      <c r="O189" s="12" t="n">
        <v>0.5981</v>
      </c>
      <c r="P189" s="14" t="str">
        <f aca="false">IFERROR(INDEX(Rates!$C$5:$C$84,MATCH(M189,Rates!$A$5:$A$84,0)),"")</f>
        <v>bag</v>
      </c>
      <c r="Q189" s="15" t="n">
        <f aca="false">IFERROR(INDEX(Rates!$D$5:$D$84,MATCH(M189,Rates!$A$5:$A$84,0)),0)</f>
        <v>0.03</v>
      </c>
      <c r="R189" s="12" t="n">
        <f aca="false">O189*(1+Q189)</f>
        <v>0.616043</v>
      </c>
      <c r="S189" s="16" t="n">
        <f aca="false">IFERROR(INDEX(Rates!$E$5:$E$84,MATCH(M189,Rates!$A$5:$A$84,0)),0)</f>
        <v>1560</v>
      </c>
      <c r="T189" s="7" t="n">
        <f aca="false">R189*S189</f>
        <v>961.02708</v>
      </c>
      <c r="U189" s="17" t="str">
        <f aca="false">IF(M189="BRK",R189/2000,IF(OR(M189="SNDC",M189="SNDM",M189="CRS",M189="KHG",M189="EARTH"),R189/100,""))</f>
        <v/>
      </c>
    </row>
    <row r="190" customFormat="false" ht="15" hidden="false" customHeight="false" outlineLevel="0" collapsed="false">
      <c r="A190" s="6" t="s">
        <v>490</v>
      </c>
      <c r="B190" s="6" t="s">
        <v>491</v>
      </c>
      <c r="C190" s="6" t="s">
        <v>583</v>
      </c>
      <c r="D190" s="9"/>
      <c r="E190" s="9"/>
      <c r="F190" s="9"/>
      <c r="G190" s="9"/>
      <c r="H190" s="12"/>
      <c r="I190" s="6"/>
      <c r="J190" s="6" t="s">
        <v>503</v>
      </c>
      <c r="K190" s="6" t="s">
        <v>582</v>
      </c>
      <c r="L190" s="6"/>
      <c r="M190" s="6" t="s">
        <v>69</v>
      </c>
      <c r="N190" s="13" t="str">
        <f aca="false">IFERROR(INDEX(Rates!$B$5:$B$84,MATCH(M190,Rates!$A$5:$A$84,0)),"")</f>
        <v>Chenab sand (concrete, screed)</v>
      </c>
      <c r="O190" s="12" t="n">
        <v>1.4952</v>
      </c>
      <c r="P190" s="14" t="str">
        <f aca="false">IFERROR(INDEX(Rates!$C$5:$C$84,MATCH(M190,Rates!$A$5:$A$84,0)),"")</f>
        <v>cft</v>
      </c>
      <c r="Q190" s="15" t="n">
        <f aca="false">IFERROR(INDEX(Rates!$D$5:$D$84,MATCH(M190,Rates!$A$5:$A$84,0)),0)</f>
        <v>0.08</v>
      </c>
      <c r="R190" s="12" t="n">
        <f aca="false">O190*(1+Q190)</f>
        <v>1.614816</v>
      </c>
      <c r="S190" s="16" t="n">
        <f aca="false">IFERROR(INDEX(Rates!$E$5:$E$84,MATCH(M190,Rates!$A$5:$A$84,0)),0)</f>
        <v>65</v>
      </c>
      <c r="T190" s="7" t="n">
        <f aca="false">R190*S190</f>
        <v>104.96304</v>
      </c>
      <c r="U190" s="17" t="n">
        <f aca="false">IF(M190="BRK",R190/2000,IF(OR(M190="SNDC",M190="SNDM",M190="CRS",M190="KHG",M190="EARTH"),R190/100,""))</f>
        <v>0.01614816</v>
      </c>
    </row>
    <row r="191" customFormat="false" ht="15" hidden="false" customHeight="false" outlineLevel="0" collapsed="false">
      <c r="A191" s="6" t="s">
        <v>490</v>
      </c>
      <c r="B191" s="6" t="s">
        <v>491</v>
      </c>
      <c r="C191" s="6" t="s">
        <v>583</v>
      </c>
      <c r="D191" s="9"/>
      <c r="E191" s="9"/>
      <c r="F191" s="9"/>
      <c r="G191" s="9"/>
      <c r="H191" s="12"/>
      <c r="I191" s="6"/>
      <c r="J191" s="6" t="s">
        <v>503</v>
      </c>
      <c r="K191" s="6" t="s">
        <v>582</v>
      </c>
      <c r="L191" s="6"/>
      <c r="M191" s="6" t="s">
        <v>79</v>
      </c>
      <c r="N191" s="13" t="str">
        <f aca="false">IFERROR(INDEX(Rates!$B$5:$B$84,MATCH(M191,Rates!$A$5:$A$84,0)),"")</f>
        <v>Crush ¾" down, Sargodha (bajri)</v>
      </c>
      <c r="O191" s="12" t="n">
        <v>2.9905</v>
      </c>
      <c r="P191" s="14" t="str">
        <f aca="false">IFERROR(INDEX(Rates!$C$5:$C$84,MATCH(M191,Rates!$A$5:$A$84,0)),"")</f>
        <v>cft</v>
      </c>
      <c r="Q191" s="15" t="n">
        <f aca="false">IFERROR(INDEX(Rates!$D$5:$D$84,MATCH(M191,Rates!$A$5:$A$84,0)),0)</f>
        <v>0.05</v>
      </c>
      <c r="R191" s="12" t="n">
        <f aca="false">O191*(1+Q191)</f>
        <v>3.140025</v>
      </c>
      <c r="S191" s="16" t="n">
        <f aca="false">IFERROR(INDEX(Rates!$E$5:$E$84,MATCH(M191,Rates!$A$5:$A$84,0)),0)</f>
        <v>110</v>
      </c>
      <c r="T191" s="7" t="n">
        <f aca="false">R191*S191</f>
        <v>345.40275</v>
      </c>
      <c r="U191" s="17" t="n">
        <f aca="false">IF(M191="BRK",R191/2000,IF(OR(M191="SNDC",M191="SNDM",M191="CRS",M191="KHG",M191="EARTH"),R191/100,""))</f>
        <v>0.03140025</v>
      </c>
    </row>
    <row r="192" customFormat="false" ht="22.35" hidden="false" customHeight="false" outlineLevel="0" collapsed="false">
      <c r="A192" s="6" t="s">
        <v>490</v>
      </c>
      <c r="B192" s="6" t="s">
        <v>491</v>
      </c>
      <c r="C192" s="6" t="s">
        <v>583</v>
      </c>
      <c r="D192" s="9"/>
      <c r="E192" s="9"/>
      <c r="F192" s="9"/>
      <c r="G192" s="9"/>
      <c r="H192" s="12"/>
      <c r="I192" s="6"/>
      <c r="J192" s="6" t="s">
        <v>503</v>
      </c>
      <c r="K192" s="6" t="s">
        <v>582</v>
      </c>
      <c r="L192" s="6"/>
      <c r="M192" s="6" t="s">
        <v>56</v>
      </c>
      <c r="N192" s="13" t="str">
        <f aca="false">IFERROR(INDEX(Rates!$B$5:$B$84,MATCH(M192,Rates!$A$5:$A$84,0)),"")</f>
        <v>Steel Grade 60 deformed, #3 (10 mm) (Amreli / Mughal / FF Steel)</v>
      </c>
      <c r="O192" s="12" t="n">
        <v>12.0665</v>
      </c>
      <c r="P192" s="14" t="str">
        <f aca="false">IFERROR(INDEX(Rates!$C$5:$C$84,MATCH(M192,Rates!$A$5:$A$84,0)),"")</f>
        <v>kg</v>
      </c>
      <c r="Q192" s="15" t="n">
        <f aca="false">IFERROR(INDEX(Rates!$D$5:$D$84,MATCH(M192,Rates!$A$5:$A$84,0)),0)</f>
        <v>0.04</v>
      </c>
      <c r="R192" s="12" t="n">
        <f aca="false">O192*(1+Q192)</f>
        <v>12.54916</v>
      </c>
      <c r="S192" s="16" t="n">
        <f aca="false">IFERROR(INDEX(Rates!$E$5:$E$84,MATCH(M192,Rates!$A$5:$A$84,0)),0)</f>
        <v>262</v>
      </c>
      <c r="T192" s="7" t="n">
        <f aca="false">R192*S192</f>
        <v>3287.87992</v>
      </c>
      <c r="U192" s="17" t="str">
        <f aca="false">IF(M192="BRK",R192/2000,IF(OR(M192="SNDC",M192="SNDM",M192="CRS",M192="KHG",M192="EARTH"),R192/100,""))</f>
        <v/>
      </c>
    </row>
    <row r="193" customFormat="false" ht="22.35" hidden="false" customHeight="false" outlineLevel="0" collapsed="false">
      <c r="A193" s="6" t="s">
        <v>490</v>
      </c>
      <c r="B193" s="6" t="s">
        <v>491</v>
      </c>
      <c r="C193" s="6" t="s">
        <v>587</v>
      </c>
      <c r="D193" s="9" t="s">
        <v>481</v>
      </c>
      <c r="E193" s="9" t="s">
        <v>588</v>
      </c>
      <c r="F193" s="9" t="s">
        <v>589</v>
      </c>
      <c r="G193" s="9" t="s">
        <v>590</v>
      </c>
      <c r="H193" s="12" t="n">
        <v>2.5</v>
      </c>
      <c r="I193" s="6" t="s">
        <v>71</v>
      </c>
      <c r="J193" s="6" t="s">
        <v>503</v>
      </c>
      <c r="K193" s="6" t="s">
        <v>582</v>
      </c>
      <c r="L193" s="6"/>
      <c r="M193" s="6" t="s">
        <v>37</v>
      </c>
      <c r="N193" s="13" t="str">
        <f aca="false">IFERROR(INDEX(Rates!$B$5:$B$84,MATCH(M193,Rates!$A$5:$A$84,0)),"")</f>
        <v>Cement OPC, 50 kg bag (Lucky / Bestway / Maple Leaf)</v>
      </c>
      <c r="O193" s="12" t="n">
        <v>0.4486</v>
      </c>
      <c r="P193" s="14" t="str">
        <f aca="false">IFERROR(INDEX(Rates!$C$5:$C$84,MATCH(M193,Rates!$A$5:$A$84,0)),"")</f>
        <v>bag</v>
      </c>
      <c r="Q193" s="15" t="n">
        <f aca="false">IFERROR(INDEX(Rates!$D$5:$D$84,MATCH(M193,Rates!$A$5:$A$84,0)),0)</f>
        <v>0.03</v>
      </c>
      <c r="R193" s="12" t="n">
        <f aca="false">O193*(1+Q193)</f>
        <v>0.462058</v>
      </c>
      <c r="S193" s="16" t="n">
        <f aca="false">IFERROR(INDEX(Rates!$E$5:$E$84,MATCH(M193,Rates!$A$5:$A$84,0)),0)</f>
        <v>1560</v>
      </c>
      <c r="T193" s="7" t="n">
        <f aca="false">R193*S193</f>
        <v>720.81048</v>
      </c>
      <c r="U193" s="17" t="str">
        <f aca="false">IF(M193="BRK",R193/2000,IF(OR(M193="SNDC",M193="SNDM",M193="CRS",M193="KHG",M193="EARTH"),R193/100,""))</f>
        <v/>
      </c>
    </row>
    <row r="194" customFormat="false" ht="15" hidden="false" customHeight="false" outlineLevel="0" collapsed="false">
      <c r="A194" s="6" t="s">
        <v>490</v>
      </c>
      <c r="B194" s="6" t="s">
        <v>491</v>
      </c>
      <c r="C194" s="6" t="s">
        <v>587</v>
      </c>
      <c r="D194" s="9"/>
      <c r="E194" s="9"/>
      <c r="F194" s="9"/>
      <c r="G194" s="9"/>
      <c r="H194" s="12"/>
      <c r="I194" s="6"/>
      <c r="J194" s="6" t="s">
        <v>503</v>
      </c>
      <c r="K194" s="6" t="s">
        <v>582</v>
      </c>
      <c r="L194" s="6"/>
      <c r="M194" s="6" t="s">
        <v>69</v>
      </c>
      <c r="N194" s="13" t="str">
        <f aca="false">IFERROR(INDEX(Rates!$B$5:$B$84,MATCH(M194,Rates!$A$5:$A$84,0)),"")</f>
        <v>Chenab sand (concrete, screed)</v>
      </c>
      <c r="O194" s="12" t="n">
        <v>1.1214</v>
      </c>
      <c r="P194" s="14" t="str">
        <f aca="false">IFERROR(INDEX(Rates!$C$5:$C$84,MATCH(M194,Rates!$A$5:$A$84,0)),"")</f>
        <v>cft</v>
      </c>
      <c r="Q194" s="15" t="n">
        <f aca="false">IFERROR(INDEX(Rates!$D$5:$D$84,MATCH(M194,Rates!$A$5:$A$84,0)),0)</f>
        <v>0.08</v>
      </c>
      <c r="R194" s="12" t="n">
        <f aca="false">O194*(1+Q194)</f>
        <v>1.211112</v>
      </c>
      <c r="S194" s="16" t="n">
        <f aca="false">IFERROR(INDEX(Rates!$E$5:$E$84,MATCH(M194,Rates!$A$5:$A$84,0)),0)</f>
        <v>65</v>
      </c>
      <c r="T194" s="7" t="n">
        <f aca="false">R194*S194</f>
        <v>78.72228</v>
      </c>
      <c r="U194" s="17" t="n">
        <f aca="false">IF(M194="BRK",R194/2000,IF(OR(M194="SNDC",M194="SNDM",M194="CRS",M194="KHG",M194="EARTH"),R194/100,""))</f>
        <v>0.01211112</v>
      </c>
    </row>
    <row r="195" customFormat="false" ht="15" hidden="false" customHeight="false" outlineLevel="0" collapsed="false">
      <c r="A195" s="6" t="s">
        <v>490</v>
      </c>
      <c r="B195" s="6" t="s">
        <v>491</v>
      </c>
      <c r="C195" s="6" t="s">
        <v>587</v>
      </c>
      <c r="D195" s="9"/>
      <c r="E195" s="9"/>
      <c r="F195" s="9"/>
      <c r="G195" s="9"/>
      <c r="H195" s="12"/>
      <c r="I195" s="6"/>
      <c r="J195" s="6" t="s">
        <v>503</v>
      </c>
      <c r="K195" s="6" t="s">
        <v>582</v>
      </c>
      <c r="L195" s="6"/>
      <c r="M195" s="6" t="s">
        <v>79</v>
      </c>
      <c r="N195" s="13" t="str">
        <f aca="false">IFERROR(INDEX(Rates!$B$5:$B$84,MATCH(M195,Rates!$A$5:$A$84,0)),"")</f>
        <v>Crush ¾" down, Sargodha (bajri)</v>
      </c>
      <c r="O195" s="12" t="n">
        <v>2.2429</v>
      </c>
      <c r="P195" s="14" t="str">
        <f aca="false">IFERROR(INDEX(Rates!$C$5:$C$84,MATCH(M195,Rates!$A$5:$A$84,0)),"")</f>
        <v>cft</v>
      </c>
      <c r="Q195" s="15" t="n">
        <f aca="false">IFERROR(INDEX(Rates!$D$5:$D$84,MATCH(M195,Rates!$A$5:$A$84,0)),0)</f>
        <v>0.05</v>
      </c>
      <c r="R195" s="12" t="n">
        <f aca="false">O195*(1+Q195)</f>
        <v>2.355045</v>
      </c>
      <c r="S195" s="16" t="n">
        <f aca="false">IFERROR(INDEX(Rates!$E$5:$E$84,MATCH(M195,Rates!$A$5:$A$84,0)),0)</f>
        <v>110</v>
      </c>
      <c r="T195" s="7" t="n">
        <f aca="false">R195*S195</f>
        <v>259.05495</v>
      </c>
      <c r="U195" s="17" t="n">
        <f aca="false">IF(M195="BRK",R195/2000,IF(OR(M195="SNDC",M195="SNDM",M195="CRS",M195="KHG",M195="EARTH"),R195/100,""))</f>
        <v>0.02355045</v>
      </c>
    </row>
    <row r="196" customFormat="false" ht="22.35" hidden="false" customHeight="false" outlineLevel="0" collapsed="false">
      <c r="A196" s="6" t="s">
        <v>490</v>
      </c>
      <c r="B196" s="6" t="s">
        <v>491</v>
      </c>
      <c r="C196" s="6" t="s">
        <v>587</v>
      </c>
      <c r="D196" s="9"/>
      <c r="E196" s="9"/>
      <c r="F196" s="9"/>
      <c r="G196" s="9"/>
      <c r="H196" s="12"/>
      <c r="I196" s="6"/>
      <c r="J196" s="6" t="s">
        <v>503</v>
      </c>
      <c r="K196" s="6" t="s">
        <v>582</v>
      </c>
      <c r="L196" s="6"/>
      <c r="M196" s="6" t="s">
        <v>56</v>
      </c>
      <c r="N196" s="13" t="str">
        <f aca="false">IFERROR(INDEX(Rates!$B$5:$B$84,MATCH(M196,Rates!$A$5:$A$84,0)),"")</f>
        <v>Steel Grade 60 deformed, #3 (10 mm) (Amreli / Mughal / FF Steel)</v>
      </c>
      <c r="O196" s="12" t="n">
        <v>9.1671</v>
      </c>
      <c r="P196" s="14" t="str">
        <f aca="false">IFERROR(INDEX(Rates!$C$5:$C$84,MATCH(M196,Rates!$A$5:$A$84,0)),"")</f>
        <v>kg</v>
      </c>
      <c r="Q196" s="15" t="n">
        <f aca="false">IFERROR(INDEX(Rates!$D$5:$D$84,MATCH(M196,Rates!$A$5:$A$84,0)),0)</f>
        <v>0.04</v>
      </c>
      <c r="R196" s="12" t="n">
        <f aca="false">O196*(1+Q196)</f>
        <v>9.533784</v>
      </c>
      <c r="S196" s="16" t="n">
        <f aca="false">IFERROR(INDEX(Rates!$E$5:$E$84,MATCH(M196,Rates!$A$5:$A$84,0)),0)</f>
        <v>262</v>
      </c>
      <c r="T196" s="7" t="n">
        <f aca="false">R196*S196</f>
        <v>2497.851408</v>
      </c>
      <c r="U196" s="17" t="str">
        <f aca="false">IF(M196="BRK",R196/2000,IF(OR(M196="SNDC",M196="SNDM",M196="CRS",M196="KHG",M196="EARTH"),R196/100,""))</f>
        <v/>
      </c>
    </row>
    <row r="197" customFormat="false" ht="22.35" hidden="false" customHeight="false" outlineLevel="0" collapsed="false">
      <c r="A197" s="6" t="s">
        <v>490</v>
      </c>
      <c r="B197" s="6" t="s">
        <v>491</v>
      </c>
      <c r="C197" s="6" t="s">
        <v>591</v>
      </c>
      <c r="D197" s="9" t="s">
        <v>486</v>
      </c>
      <c r="E197" s="9" t="s">
        <v>592</v>
      </c>
      <c r="F197" s="9" t="s">
        <v>593</v>
      </c>
      <c r="G197" s="9" t="s">
        <v>594</v>
      </c>
      <c r="H197" s="12" t="n">
        <v>20</v>
      </c>
      <c r="I197" s="6" t="s">
        <v>71</v>
      </c>
      <c r="J197" s="6" t="s">
        <v>503</v>
      </c>
      <c r="K197" s="6" t="s">
        <v>595</v>
      </c>
      <c r="L197" s="6"/>
      <c r="M197" s="6" t="s">
        <v>37</v>
      </c>
      <c r="N197" s="13" t="str">
        <f aca="false">IFERROR(INDEX(Rates!$B$5:$B$84,MATCH(M197,Rates!$A$5:$A$84,0)),"")</f>
        <v>Cement OPC, 50 kg bag (Lucky / Bestway / Maple Leaf)</v>
      </c>
      <c r="O197" s="12" t="n">
        <v>3.5886</v>
      </c>
      <c r="P197" s="14" t="str">
        <f aca="false">IFERROR(INDEX(Rates!$C$5:$C$84,MATCH(M197,Rates!$A$5:$A$84,0)),"")</f>
        <v>bag</v>
      </c>
      <c r="Q197" s="15" t="n">
        <f aca="false">IFERROR(INDEX(Rates!$D$5:$D$84,MATCH(M197,Rates!$A$5:$A$84,0)),0)</f>
        <v>0.03</v>
      </c>
      <c r="R197" s="12" t="n">
        <f aca="false">O197*(1+Q197)</f>
        <v>3.696258</v>
      </c>
      <c r="S197" s="16" t="n">
        <f aca="false">IFERROR(INDEX(Rates!$E$5:$E$84,MATCH(M197,Rates!$A$5:$A$84,0)),0)</f>
        <v>1560</v>
      </c>
      <c r="T197" s="7" t="n">
        <f aca="false">R197*S197</f>
        <v>5766.16248</v>
      </c>
      <c r="U197" s="17" t="str">
        <f aca="false">IF(M197="BRK",R197/2000,IF(OR(M197="SNDC",M197="SNDM",M197="CRS",M197="KHG",M197="EARTH"),R197/100,""))</f>
        <v/>
      </c>
    </row>
    <row r="198" customFormat="false" ht="15" hidden="false" customHeight="false" outlineLevel="0" collapsed="false">
      <c r="A198" s="6" t="s">
        <v>490</v>
      </c>
      <c r="B198" s="6" t="s">
        <v>491</v>
      </c>
      <c r="C198" s="6" t="s">
        <v>591</v>
      </c>
      <c r="D198" s="9"/>
      <c r="E198" s="9"/>
      <c r="F198" s="9"/>
      <c r="G198" s="9"/>
      <c r="H198" s="12"/>
      <c r="I198" s="6"/>
      <c r="J198" s="6" t="s">
        <v>503</v>
      </c>
      <c r="K198" s="6" t="s">
        <v>595</v>
      </c>
      <c r="L198" s="6"/>
      <c r="M198" s="6" t="s">
        <v>69</v>
      </c>
      <c r="N198" s="13" t="str">
        <f aca="false">IFERROR(INDEX(Rates!$B$5:$B$84,MATCH(M198,Rates!$A$5:$A$84,0)),"")</f>
        <v>Chenab sand (concrete, screed)</v>
      </c>
      <c r="O198" s="12" t="n">
        <v>8.9714</v>
      </c>
      <c r="P198" s="14" t="str">
        <f aca="false">IFERROR(INDEX(Rates!$C$5:$C$84,MATCH(M198,Rates!$A$5:$A$84,0)),"")</f>
        <v>cft</v>
      </c>
      <c r="Q198" s="15" t="n">
        <f aca="false">IFERROR(INDEX(Rates!$D$5:$D$84,MATCH(M198,Rates!$A$5:$A$84,0)),0)</f>
        <v>0.08</v>
      </c>
      <c r="R198" s="12" t="n">
        <f aca="false">O198*(1+Q198)</f>
        <v>9.689112</v>
      </c>
      <c r="S198" s="16" t="n">
        <f aca="false">IFERROR(INDEX(Rates!$E$5:$E$84,MATCH(M198,Rates!$A$5:$A$84,0)),0)</f>
        <v>65</v>
      </c>
      <c r="T198" s="7" t="n">
        <f aca="false">R198*S198</f>
        <v>629.79228</v>
      </c>
      <c r="U198" s="17" t="n">
        <f aca="false">IF(M198="BRK",R198/2000,IF(OR(M198="SNDC",M198="SNDM",M198="CRS",M198="KHG",M198="EARTH"),R198/100,""))</f>
        <v>0.09689112</v>
      </c>
    </row>
    <row r="199" customFormat="false" ht="15" hidden="false" customHeight="false" outlineLevel="0" collapsed="false">
      <c r="A199" s="6" t="s">
        <v>490</v>
      </c>
      <c r="B199" s="6" t="s">
        <v>491</v>
      </c>
      <c r="C199" s="6" t="s">
        <v>591</v>
      </c>
      <c r="D199" s="9"/>
      <c r="E199" s="9"/>
      <c r="F199" s="9"/>
      <c r="G199" s="9"/>
      <c r="H199" s="12"/>
      <c r="I199" s="6"/>
      <c r="J199" s="6" t="s">
        <v>503</v>
      </c>
      <c r="K199" s="6" t="s">
        <v>595</v>
      </c>
      <c r="L199" s="6"/>
      <c r="M199" s="6" t="s">
        <v>79</v>
      </c>
      <c r="N199" s="13" t="str">
        <f aca="false">IFERROR(INDEX(Rates!$B$5:$B$84,MATCH(M199,Rates!$A$5:$A$84,0)),"")</f>
        <v>Crush ¾" down, Sargodha (bajri)</v>
      </c>
      <c r="O199" s="12" t="n">
        <v>17.9429</v>
      </c>
      <c r="P199" s="14" t="str">
        <f aca="false">IFERROR(INDEX(Rates!$C$5:$C$84,MATCH(M199,Rates!$A$5:$A$84,0)),"")</f>
        <v>cft</v>
      </c>
      <c r="Q199" s="15" t="n">
        <f aca="false">IFERROR(INDEX(Rates!$D$5:$D$84,MATCH(M199,Rates!$A$5:$A$84,0)),0)</f>
        <v>0.05</v>
      </c>
      <c r="R199" s="12" t="n">
        <f aca="false">O199*(1+Q199)</f>
        <v>18.840045</v>
      </c>
      <c r="S199" s="16" t="n">
        <f aca="false">IFERROR(INDEX(Rates!$E$5:$E$84,MATCH(M199,Rates!$A$5:$A$84,0)),0)</f>
        <v>110</v>
      </c>
      <c r="T199" s="7" t="n">
        <f aca="false">R199*S199</f>
        <v>2072.40495</v>
      </c>
      <c r="U199" s="17" t="n">
        <f aca="false">IF(M199="BRK",R199/2000,IF(OR(M199="SNDC",M199="SNDM",M199="CRS",M199="KHG",M199="EARTH"),R199/100,""))</f>
        <v>0.18840045</v>
      </c>
    </row>
    <row r="200" customFormat="false" ht="22.35" hidden="false" customHeight="false" outlineLevel="0" collapsed="false">
      <c r="A200" s="6" t="s">
        <v>490</v>
      </c>
      <c r="B200" s="6" t="s">
        <v>491</v>
      </c>
      <c r="C200" s="6" t="s">
        <v>591</v>
      </c>
      <c r="D200" s="9"/>
      <c r="E200" s="9"/>
      <c r="F200" s="9"/>
      <c r="G200" s="9"/>
      <c r="H200" s="12"/>
      <c r="I200" s="6"/>
      <c r="J200" s="6" t="s">
        <v>503</v>
      </c>
      <c r="K200" s="6" t="s">
        <v>595</v>
      </c>
      <c r="L200" s="6"/>
      <c r="M200" s="6" t="s">
        <v>56</v>
      </c>
      <c r="N200" s="13" t="str">
        <f aca="false">IFERROR(INDEX(Rates!$B$5:$B$84,MATCH(M200,Rates!$A$5:$A$84,0)),"")</f>
        <v>Steel Grade 60 deformed, #3 (10 mm) (Amreli / Mughal / FF Steel)</v>
      </c>
      <c r="O200" s="12" t="n">
        <v>25.5826</v>
      </c>
      <c r="P200" s="14" t="str">
        <f aca="false">IFERROR(INDEX(Rates!$C$5:$C$84,MATCH(M200,Rates!$A$5:$A$84,0)),"")</f>
        <v>kg</v>
      </c>
      <c r="Q200" s="15" t="n">
        <f aca="false">IFERROR(INDEX(Rates!$D$5:$D$84,MATCH(M200,Rates!$A$5:$A$84,0)),0)</f>
        <v>0.04</v>
      </c>
      <c r="R200" s="12" t="n">
        <f aca="false">O200*(1+Q200)</f>
        <v>26.605904</v>
      </c>
      <c r="S200" s="16" t="n">
        <f aca="false">IFERROR(INDEX(Rates!$E$5:$E$84,MATCH(M200,Rates!$A$5:$A$84,0)),0)</f>
        <v>262</v>
      </c>
      <c r="T200" s="7" t="n">
        <f aca="false">R200*S200</f>
        <v>6970.746848</v>
      </c>
      <c r="U200" s="17" t="str">
        <f aca="false">IF(M200="BRK",R200/2000,IF(OR(M200="SNDC",M200="SNDM",M200="CRS",M200="KHG",M200="EARTH"),R200/100,""))</f>
        <v/>
      </c>
    </row>
    <row r="201" customFormat="false" ht="22.35" hidden="false" customHeight="false" outlineLevel="0" collapsed="false">
      <c r="A201" s="6" t="s">
        <v>490</v>
      </c>
      <c r="B201" s="6" t="s">
        <v>491</v>
      </c>
      <c r="C201" s="6" t="s">
        <v>596</v>
      </c>
      <c r="D201" s="9" t="s">
        <v>597</v>
      </c>
      <c r="E201" s="9" t="s">
        <v>598</v>
      </c>
      <c r="F201" s="9" t="s">
        <v>599</v>
      </c>
      <c r="G201" s="9" t="s">
        <v>600</v>
      </c>
      <c r="H201" s="12" t="n">
        <v>41.213</v>
      </c>
      <c r="I201" s="6" t="s">
        <v>71</v>
      </c>
      <c r="J201" s="6" t="s">
        <v>503</v>
      </c>
      <c r="K201" s="6" t="s">
        <v>601</v>
      </c>
      <c r="L201" s="6"/>
      <c r="M201" s="6" t="s">
        <v>37</v>
      </c>
      <c r="N201" s="13" t="str">
        <f aca="false">IFERROR(INDEX(Rates!$B$5:$B$84,MATCH(M201,Rates!$A$5:$A$84,0)),"")</f>
        <v>Cement OPC, 50 kg bag (Lucky / Bestway / Maple Leaf)</v>
      </c>
      <c r="O201" s="12" t="n">
        <v>7.3947</v>
      </c>
      <c r="P201" s="14" t="str">
        <f aca="false">IFERROR(INDEX(Rates!$C$5:$C$84,MATCH(M201,Rates!$A$5:$A$84,0)),"")</f>
        <v>bag</v>
      </c>
      <c r="Q201" s="15" t="n">
        <f aca="false">IFERROR(INDEX(Rates!$D$5:$D$84,MATCH(M201,Rates!$A$5:$A$84,0)),0)</f>
        <v>0.03</v>
      </c>
      <c r="R201" s="12" t="n">
        <f aca="false">O201*(1+Q201)</f>
        <v>7.616541</v>
      </c>
      <c r="S201" s="16" t="n">
        <f aca="false">IFERROR(INDEX(Rates!$E$5:$E$84,MATCH(M201,Rates!$A$5:$A$84,0)),0)</f>
        <v>1560</v>
      </c>
      <c r="T201" s="7" t="n">
        <f aca="false">R201*S201</f>
        <v>11881.80396</v>
      </c>
      <c r="U201" s="17" t="str">
        <f aca="false">IF(M201="BRK",R201/2000,IF(OR(M201="SNDC",M201="SNDM",M201="CRS",M201="KHG",M201="EARTH"),R201/100,""))</f>
        <v/>
      </c>
    </row>
    <row r="202" customFormat="false" ht="15" hidden="false" customHeight="false" outlineLevel="0" collapsed="false">
      <c r="A202" s="6" t="s">
        <v>490</v>
      </c>
      <c r="B202" s="6" t="s">
        <v>491</v>
      </c>
      <c r="C202" s="6" t="s">
        <v>596</v>
      </c>
      <c r="D202" s="9"/>
      <c r="E202" s="9"/>
      <c r="F202" s="9"/>
      <c r="G202" s="9"/>
      <c r="H202" s="12"/>
      <c r="I202" s="6"/>
      <c r="J202" s="6" t="s">
        <v>503</v>
      </c>
      <c r="K202" s="6" t="s">
        <v>601</v>
      </c>
      <c r="L202" s="6"/>
      <c r="M202" s="6" t="s">
        <v>69</v>
      </c>
      <c r="N202" s="13" t="str">
        <f aca="false">IFERROR(INDEX(Rates!$B$5:$B$84,MATCH(M202,Rates!$A$5:$A$84,0)),"")</f>
        <v>Chenab sand (concrete, screed)</v>
      </c>
      <c r="O202" s="12" t="n">
        <v>18.4868</v>
      </c>
      <c r="P202" s="14" t="str">
        <f aca="false">IFERROR(INDEX(Rates!$C$5:$C$84,MATCH(M202,Rates!$A$5:$A$84,0)),"")</f>
        <v>cft</v>
      </c>
      <c r="Q202" s="15" t="n">
        <f aca="false">IFERROR(INDEX(Rates!$D$5:$D$84,MATCH(M202,Rates!$A$5:$A$84,0)),0)</f>
        <v>0.08</v>
      </c>
      <c r="R202" s="12" t="n">
        <f aca="false">O202*(1+Q202)</f>
        <v>19.965744</v>
      </c>
      <c r="S202" s="16" t="n">
        <f aca="false">IFERROR(INDEX(Rates!$E$5:$E$84,MATCH(M202,Rates!$A$5:$A$84,0)),0)</f>
        <v>65</v>
      </c>
      <c r="T202" s="7" t="n">
        <f aca="false">R202*S202</f>
        <v>1297.77336</v>
      </c>
      <c r="U202" s="17" t="n">
        <f aca="false">IF(M202="BRK",R202/2000,IF(OR(M202="SNDC",M202="SNDM",M202="CRS",M202="KHG",M202="EARTH"),R202/100,""))</f>
        <v>0.19965744</v>
      </c>
    </row>
    <row r="203" customFormat="false" ht="15" hidden="false" customHeight="false" outlineLevel="0" collapsed="false">
      <c r="A203" s="6" t="s">
        <v>490</v>
      </c>
      <c r="B203" s="6" t="s">
        <v>491</v>
      </c>
      <c r="C203" s="6" t="s">
        <v>596</v>
      </c>
      <c r="D203" s="9"/>
      <c r="E203" s="9"/>
      <c r="F203" s="9"/>
      <c r="G203" s="9"/>
      <c r="H203" s="12"/>
      <c r="I203" s="6"/>
      <c r="J203" s="6" t="s">
        <v>503</v>
      </c>
      <c r="K203" s="6" t="s">
        <v>601</v>
      </c>
      <c r="L203" s="6"/>
      <c r="M203" s="6" t="s">
        <v>79</v>
      </c>
      <c r="N203" s="13" t="str">
        <f aca="false">IFERROR(INDEX(Rates!$B$5:$B$84,MATCH(M203,Rates!$A$5:$A$84,0)),"")</f>
        <v>Crush ¾" down, Sargodha (bajri)</v>
      </c>
      <c r="O203" s="12" t="n">
        <v>36.9735</v>
      </c>
      <c r="P203" s="14" t="str">
        <f aca="false">IFERROR(INDEX(Rates!$C$5:$C$84,MATCH(M203,Rates!$A$5:$A$84,0)),"")</f>
        <v>cft</v>
      </c>
      <c r="Q203" s="15" t="n">
        <f aca="false">IFERROR(INDEX(Rates!$D$5:$D$84,MATCH(M203,Rates!$A$5:$A$84,0)),0)</f>
        <v>0.05</v>
      </c>
      <c r="R203" s="12" t="n">
        <f aca="false">O203*(1+Q203)</f>
        <v>38.822175</v>
      </c>
      <c r="S203" s="16" t="n">
        <f aca="false">IFERROR(INDEX(Rates!$E$5:$E$84,MATCH(M203,Rates!$A$5:$A$84,0)),0)</f>
        <v>110</v>
      </c>
      <c r="T203" s="7" t="n">
        <f aca="false">R203*S203</f>
        <v>4270.43925</v>
      </c>
      <c r="U203" s="17" t="n">
        <f aca="false">IF(M203="BRK",R203/2000,IF(OR(M203="SNDC",M203="SNDM",M203="CRS",M203="KHG",M203="EARTH"),R203/100,""))</f>
        <v>0.38822175</v>
      </c>
    </row>
    <row r="204" customFormat="false" ht="22.35" hidden="false" customHeight="false" outlineLevel="0" collapsed="false">
      <c r="A204" s="6" t="s">
        <v>490</v>
      </c>
      <c r="B204" s="6" t="s">
        <v>491</v>
      </c>
      <c r="C204" s="6" t="s">
        <v>596</v>
      </c>
      <c r="D204" s="9"/>
      <c r="E204" s="9"/>
      <c r="F204" s="9"/>
      <c r="G204" s="9"/>
      <c r="H204" s="12"/>
      <c r="I204" s="6"/>
      <c r="J204" s="6" t="s">
        <v>503</v>
      </c>
      <c r="K204" s="6" t="s">
        <v>601</v>
      </c>
      <c r="L204" s="6"/>
      <c r="M204" s="6" t="s">
        <v>56</v>
      </c>
      <c r="N204" s="13" t="str">
        <f aca="false">IFERROR(INDEX(Rates!$B$5:$B$84,MATCH(M204,Rates!$A$5:$A$84,0)),"")</f>
        <v>Steel Grade 60 deformed, #3 (10 mm) (Amreli / Mughal / FF Steel)</v>
      </c>
      <c r="O204" s="12" t="n">
        <v>78.7228</v>
      </c>
      <c r="P204" s="14" t="str">
        <f aca="false">IFERROR(INDEX(Rates!$C$5:$C$84,MATCH(M204,Rates!$A$5:$A$84,0)),"")</f>
        <v>kg</v>
      </c>
      <c r="Q204" s="15" t="n">
        <f aca="false">IFERROR(INDEX(Rates!$D$5:$D$84,MATCH(M204,Rates!$A$5:$A$84,0)),0)</f>
        <v>0.04</v>
      </c>
      <c r="R204" s="12" t="n">
        <f aca="false">O204*(1+Q204)</f>
        <v>81.871712</v>
      </c>
      <c r="S204" s="16" t="n">
        <f aca="false">IFERROR(INDEX(Rates!$E$5:$E$84,MATCH(M204,Rates!$A$5:$A$84,0)),0)</f>
        <v>262</v>
      </c>
      <c r="T204" s="7" t="n">
        <f aca="false">R204*S204</f>
        <v>21450.388544</v>
      </c>
      <c r="U204" s="17" t="str">
        <f aca="false">IF(M204="BRK",R204/2000,IF(OR(M204="SNDC",M204="SNDM",M204="CRS",M204="KHG",M204="EARTH"),R204/100,""))</f>
        <v/>
      </c>
    </row>
    <row r="205" customFormat="false" ht="43.25" hidden="false" customHeight="false" outlineLevel="0" collapsed="false">
      <c r="A205" s="6" t="s">
        <v>490</v>
      </c>
      <c r="B205" s="6" t="s">
        <v>491</v>
      </c>
      <c r="C205" s="6" t="s">
        <v>602</v>
      </c>
      <c r="D205" s="9" t="s">
        <v>499</v>
      </c>
      <c r="E205" s="9" t="s">
        <v>603</v>
      </c>
      <c r="F205" s="9" t="s">
        <v>604</v>
      </c>
      <c r="G205" s="9" t="s">
        <v>605</v>
      </c>
      <c r="H205" s="12" t="n">
        <v>1705</v>
      </c>
      <c r="I205" s="6" t="s">
        <v>394</v>
      </c>
      <c r="J205" s="6" t="s">
        <v>606</v>
      </c>
      <c r="K205" s="6" t="s">
        <v>504</v>
      </c>
      <c r="L205" s="6"/>
      <c r="M205" s="6" t="s">
        <v>56</v>
      </c>
      <c r="N205" s="13" t="str">
        <f aca="false">IFERROR(INDEX(Rates!$B$5:$B$84,MATCH(M205,Rates!$A$5:$A$84,0)),"")</f>
        <v>Steel Grade 60 deformed, #3 (10 mm) (Amreli / Mughal / FF Steel)</v>
      </c>
      <c r="O205" s="12" t="n">
        <v>1168.2461</v>
      </c>
      <c r="P205" s="14" t="str">
        <f aca="false">IFERROR(INDEX(Rates!$C$5:$C$84,MATCH(M205,Rates!$A$5:$A$84,0)),"")</f>
        <v>kg</v>
      </c>
      <c r="Q205" s="15" t="n">
        <f aca="false">IFERROR(INDEX(Rates!$D$5:$D$84,MATCH(M205,Rates!$A$5:$A$84,0)),0)</f>
        <v>0.04</v>
      </c>
      <c r="R205" s="12" t="n">
        <f aca="false">O205*(1+Q205)</f>
        <v>1214.975944</v>
      </c>
      <c r="S205" s="16" t="n">
        <f aca="false">IFERROR(INDEX(Rates!$E$5:$E$84,MATCH(M205,Rates!$A$5:$A$84,0)),0)</f>
        <v>262</v>
      </c>
      <c r="T205" s="7" t="n">
        <f aca="false">R205*S205</f>
        <v>318323.697328</v>
      </c>
      <c r="U205" s="17" t="str">
        <f aca="false">IF(M205="BRK",R205/2000,IF(OR(M205="SNDC",M205="SNDM",M205="CRS",M205="KHG",M205="EARTH"),R205/100,""))</f>
        <v/>
      </c>
    </row>
    <row r="206" customFormat="false" ht="15" hidden="false" customHeight="false" outlineLevel="0" collapsed="false">
      <c r="A206" s="6" t="s">
        <v>490</v>
      </c>
      <c r="B206" s="6" t="s">
        <v>491</v>
      </c>
      <c r="C206" s="6" t="s">
        <v>602</v>
      </c>
      <c r="D206" s="9"/>
      <c r="E206" s="9"/>
      <c r="F206" s="9"/>
      <c r="G206" s="9"/>
      <c r="H206" s="12"/>
      <c r="I206" s="6"/>
      <c r="J206" s="6" t="s">
        <v>606</v>
      </c>
      <c r="K206" s="6" t="s">
        <v>504</v>
      </c>
      <c r="L206" s="6"/>
      <c r="M206" s="6" t="s">
        <v>59</v>
      </c>
      <c r="N206" s="13" t="str">
        <f aca="false">IFERROR(INDEX(Rates!$B$5:$B$84,MATCH(M206,Rates!$A$5:$A$84,0)),"")</f>
        <v>Steel Grade 60 deformed, #4 (12 mm)</v>
      </c>
      <c r="O206" s="12" t="n">
        <v>224.3743</v>
      </c>
      <c r="P206" s="14" t="str">
        <f aca="false">IFERROR(INDEX(Rates!$C$5:$C$84,MATCH(M206,Rates!$A$5:$A$84,0)),"")</f>
        <v>kg</v>
      </c>
      <c r="Q206" s="15" t="n">
        <f aca="false">IFERROR(INDEX(Rates!$D$5:$D$84,MATCH(M206,Rates!$A$5:$A$84,0)),0)</f>
        <v>0.04</v>
      </c>
      <c r="R206" s="12" t="n">
        <f aca="false">O206*(1+Q206)</f>
        <v>233.349272</v>
      </c>
      <c r="S206" s="16" t="n">
        <f aca="false">IFERROR(INDEX(Rates!$E$5:$E$84,MATCH(M206,Rates!$A$5:$A$84,0)),0)</f>
        <v>262</v>
      </c>
      <c r="T206" s="7" t="n">
        <f aca="false">R206*S206</f>
        <v>61137.509264</v>
      </c>
      <c r="U206" s="17" t="str">
        <f aca="false">IF(M206="BRK",R206/2000,IF(OR(M206="SNDC",M206="SNDM",M206="CRS",M206="KHG",M206="EARTH"),R206/100,""))</f>
        <v/>
      </c>
    </row>
    <row r="207" customFormat="false" ht="15" hidden="false" customHeight="false" outlineLevel="0" collapsed="false">
      <c r="A207" s="6" t="s">
        <v>490</v>
      </c>
      <c r="B207" s="6" t="s">
        <v>491</v>
      </c>
      <c r="C207" s="6" t="s">
        <v>602</v>
      </c>
      <c r="D207" s="9"/>
      <c r="E207" s="9"/>
      <c r="F207" s="9"/>
      <c r="G207" s="9"/>
      <c r="H207" s="12"/>
      <c r="I207" s="6"/>
      <c r="J207" s="6" t="s">
        <v>606</v>
      </c>
      <c r="K207" s="6" t="s">
        <v>504</v>
      </c>
      <c r="L207" s="6"/>
      <c r="M207" s="6" t="s">
        <v>62</v>
      </c>
      <c r="N207" s="13" t="str">
        <f aca="false">IFERROR(INDEX(Rates!$B$5:$B$84,MATCH(M207,Rates!$A$5:$A$84,0)),"")</f>
        <v>Steel Grade 60 deformed, #6 (20 mm)</v>
      </c>
      <c r="O207" s="12" t="n">
        <v>42.7717</v>
      </c>
      <c r="P207" s="14" t="str">
        <f aca="false">IFERROR(INDEX(Rates!$C$5:$C$84,MATCH(M207,Rates!$A$5:$A$84,0)),"")</f>
        <v>kg</v>
      </c>
      <c r="Q207" s="15" t="n">
        <f aca="false">IFERROR(INDEX(Rates!$D$5:$D$84,MATCH(M207,Rates!$A$5:$A$84,0)),0)</f>
        <v>0.04</v>
      </c>
      <c r="R207" s="12" t="n">
        <f aca="false">O207*(1+Q207)</f>
        <v>44.482568</v>
      </c>
      <c r="S207" s="16" t="n">
        <f aca="false">IFERROR(INDEX(Rates!$E$5:$E$84,MATCH(M207,Rates!$A$5:$A$84,0)),0)</f>
        <v>262</v>
      </c>
      <c r="T207" s="7" t="n">
        <f aca="false">R207*S207</f>
        <v>11654.432816</v>
      </c>
      <c r="U207" s="17" t="str">
        <f aca="false">IF(M207="BRK",R207/2000,IF(OR(M207="SNDC",M207="SNDM",M207="CRS",M207="KHG",M207="EARTH"),R207/100,""))</f>
        <v/>
      </c>
    </row>
    <row r="208" customFormat="false" ht="43.25" hidden="false" customHeight="false" outlineLevel="0" collapsed="false">
      <c r="A208" s="6" t="s">
        <v>490</v>
      </c>
      <c r="B208" s="6" t="s">
        <v>491</v>
      </c>
      <c r="C208" s="6" t="s">
        <v>607</v>
      </c>
      <c r="D208" s="9" t="s">
        <v>506</v>
      </c>
      <c r="E208" s="9" t="s">
        <v>608</v>
      </c>
      <c r="F208" s="9" t="s">
        <v>609</v>
      </c>
      <c r="G208" s="9" t="s">
        <v>610</v>
      </c>
      <c r="H208" s="12" t="n">
        <v>1650.7</v>
      </c>
      <c r="I208" s="6" t="s">
        <v>394</v>
      </c>
      <c r="J208" s="6" t="s">
        <v>606</v>
      </c>
      <c r="K208" s="6" t="s">
        <v>504</v>
      </c>
      <c r="L208" s="6"/>
      <c r="M208" s="6" t="s">
        <v>56</v>
      </c>
      <c r="N208" s="13" t="str">
        <f aca="false">IFERROR(INDEX(Rates!$B$5:$B$84,MATCH(M208,Rates!$A$5:$A$84,0)),"")</f>
        <v>Steel Grade 60 deformed, #3 (10 mm) (Amreli / Mughal / FF Steel)</v>
      </c>
      <c r="O208" s="12" t="n">
        <v>1078.9223</v>
      </c>
      <c r="P208" s="14" t="str">
        <f aca="false">IFERROR(INDEX(Rates!$C$5:$C$84,MATCH(M208,Rates!$A$5:$A$84,0)),"")</f>
        <v>kg</v>
      </c>
      <c r="Q208" s="15" t="n">
        <f aca="false">IFERROR(INDEX(Rates!$D$5:$D$84,MATCH(M208,Rates!$A$5:$A$84,0)),0)</f>
        <v>0.04</v>
      </c>
      <c r="R208" s="12" t="n">
        <f aca="false">O208*(1+Q208)</f>
        <v>1122.079192</v>
      </c>
      <c r="S208" s="16" t="n">
        <f aca="false">IFERROR(INDEX(Rates!$E$5:$E$84,MATCH(M208,Rates!$A$5:$A$84,0)),0)</f>
        <v>262</v>
      </c>
      <c r="T208" s="7" t="n">
        <f aca="false">R208*S208</f>
        <v>293984.748304</v>
      </c>
      <c r="U208" s="17" t="str">
        <f aca="false">IF(M208="BRK",R208/2000,IF(OR(M208="SNDC",M208="SNDM",M208="CRS",M208="KHG",M208="EARTH"),R208/100,""))</f>
        <v/>
      </c>
    </row>
    <row r="209" customFormat="false" ht="15" hidden="false" customHeight="false" outlineLevel="0" collapsed="false">
      <c r="A209" s="6" t="s">
        <v>490</v>
      </c>
      <c r="B209" s="6" t="s">
        <v>491</v>
      </c>
      <c r="C209" s="6" t="s">
        <v>607</v>
      </c>
      <c r="D209" s="9"/>
      <c r="E209" s="9"/>
      <c r="F209" s="9"/>
      <c r="G209" s="9"/>
      <c r="H209" s="12"/>
      <c r="I209" s="6"/>
      <c r="J209" s="6" t="s">
        <v>606</v>
      </c>
      <c r="K209" s="6" t="s">
        <v>504</v>
      </c>
      <c r="L209" s="6"/>
      <c r="M209" s="6" t="s">
        <v>59</v>
      </c>
      <c r="N209" s="13" t="str">
        <f aca="false">IFERROR(INDEX(Rates!$B$5:$B$84,MATCH(M209,Rates!$A$5:$A$84,0)),"")</f>
        <v>Steel Grade 60 deformed, #4 (12 mm)</v>
      </c>
      <c r="O209" s="12" t="n">
        <v>355.7095</v>
      </c>
      <c r="P209" s="14" t="str">
        <f aca="false">IFERROR(INDEX(Rates!$C$5:$C$84,MATCH(M209,Rates!$A$5:$A$84,0)),"")</f>
        <v>kg</v>
      </c>
      <c r="Q209" s="15" t="n">
        <f aca="false">IFERROR(INDEX(Rates!$D$5:$D$84,MATCH(M209,Rates!$A$5:$A$84,0)),0)</f>
        <v>0.04</v>
      </c>
      <c r="R209" s="12" t="n">
        <f aca="false">O209*(1+Q209)</f>
        <v>369.93788</v>
      </c>
      <c r="S209" s="16" t="n">
        <f aca="false">IFERROR(INDEX(Rates!$E$5:$E$84,MATCH(M209,Rates!$A$5:$A$84,0)),0)</f>
        <v>262</v>
      </c>
      <c r="T209" s="7" t="n">
        <f aca="false">R209*S209</f>
        <v>96923.72456</v>
      </c>
      <c r="U209" s="17" t="str">
        <f aca="false">IF(M209="BRK",R209/2000,IF(OR(M209="SNDC",M209="SNDM",M209="CRS",M209="KHG",M209="EARTH"),R209/100,""))</f>
        <v/>
      </c>
    </row>
    <row r="210" customFormat="false" ht="15" hidden="false" customHeight="false" outlineLevel="0" collapsed="false">
      <c r="A210" s="6" t="s">
        <v>490</v>
      </c>
      <c r="B210" s="6" t="s">
        <v>491</v>
      </c>
      <c r="C210" s="6" t="s">
        <v>607</v>
      </c>
      <c r="D210" s="9"/>
      <c r="E210" s="9"/>
      <c r="F210" s="9"/>
      <c r="G210" s="9"/>
      <c r="H210" s="12"/>
      <c r="I210" s="6"/>
      <c r="J210" s="6" t="s">
        <v>606</v>
      </c>
      <c r="K210" s="6" t="s">
        <v>504</v>
      </c>
      <c r="L210" s="6"/>
      <c r="M210" s="6" t="s">
        <v>62</v>
      </c>
      <c r="N210" s="13" t="str">
        <f aca="false">IFERROR(INDEX(Rates!$B$5:$B$84,MATCH(M210,Rates!$A$5:$A$84,0)),"")</f>
        <v>Steel Grade 60 deformed, #6 (20 mm)</v>
      </c>
      <c r="O210" s="12" t="n">
        <v>12.2633</v>
      </c>
      <c r="P210" s="14" t="str">
        <f aca="false">IFERROR(INDEX(Rates!$C$5:$C$84,MATCH(M210,Rates!$A$5:$A$84,0)),"")</f>
        <v>kg</v>
      </c>
      <c r="Q210" s="15" t="n">
        <f aca="false">IFERROR(INDEX(Rates!$D$5:$D$84,MATCH(M210,Rates!$A$5:$A$84,0)),0)</f>
        <v>0.04</v>
      </c>
      <c r="R210" s="12" t="n">
        <f aca="false">O210*(1+Q210)</f>
        <v>12.753832</v>
      </c>
      <c r="S210" s="16" t="n">
        <f aca="false">IFERROR(INDEX(Rates!$E$5:$E$84,MATCH(M210,Rates!$A$5:$A$84,0)),0)</f>
        <v>262</v>
      </c>
      <c r="T210" s="7" t="n">
        <f aca="false">R210*S210</f>
        <v>3341.503984</v>
      </c>
      <c r="U210" s="17" t="str">
        <f aca="false">IF(M210="BRK",R210/2000,IF(OR(M210="SNDC",M210="SNDM",M210="CRS",M210="KHG",M210="EARTH"),R210/100,""))</f>
        <v/>
      </c>
    </row>
    <row r="211" customFormat="false" ht="43.25" hidden="false" customHeight="false" outlineLevel="0" collapsed="false">
      <c r="A211" s="6" t="s">
        <v>490</v>
      </c>
      <c r="B211" s="6" t="s">
        <v>491</v>
      </c>
      <c r="C211" s="6" t="s">
        <v>611</v>
      </c>
      <c r="D211" s="9" t="s">
        <v>481</v>
      </c>
      <c r="E211" s="9" t="s">
        <v>612</v>
      </c>
      <c r="F211" s="9" t="s">
        <v>613</v>
      </c>
      <c r="G211" s="9" t="s">
        <v>614</v>
      </c>
      <c r="H211" s="12" t="n">
        <v>353.2</v>
      </c>
      <c r="I211" s="6" t="s">
        <v>394</v>
      </c>
      <c r="J211" s="6" t="s">
        <v>606</v>
      </c>
      <c r="K211" s="6" t="s">
        <v>504</v>
      </c>
      <c r="L211" s="6"/>
      <c r="M211" s="6" t="s">
        <v>56</v>
      </c>
      <c r="N211" s="13" t="str">
        <f aca="false">IFERROR(INDEX(Rates!$B$5:$B$84,MATCH(M211,Rates!$A$5:$A$84,0)),"")</f>
        <v>Steel Grade 60 deformed, #3 (10 mm) (Amreli / Mughal / FF Steel)</v>
      </c>
      <c r="O211" s="12" t="n">
        <v>258.9711</v>
      </c>
      <c r="P211" s="14" t="str">
        <f aca="false">IFERROR(INDEX(Rates!$C$5:$C$84,MATCH(M211,Rates!$A$5:$A$84,0)),"")</f>
        <v>kg</v>
      </c>
      <c r="Q211" s="15" t="n">
        <f aca="false">IFERROR(INDEX(Rates!$D$5:$D$84,MATCH(M211,Rates!$A$5:$A$84,0)),0)</f>
        <v>0.04</v>
      </c>
      <c r="R211" s="12" t="n">
        <f aca="false">O211*(1+Q211)</f>
        <v>269.329944</v>
      </c>
      <c r="S211" s="16" t="n">
        <f aca="false">IFERROR(INDEX(Rates!$E$5:$E$84,MATCH(M211,Rates!$A$5:$A$84,0)),0)</f>
        <v>262</v>
      </c>
      <c r="T211" s="7" t="n">
        <f aca="false">R211*S211</f>
        <v>70564.445328</v>
      </c>
      <c r="U211" s="17" t="str">
        <f aca="false">IF(M211="BRK",R211/2000,IF(OR(M211="SNDC",M211="SNDM",M211="CRS",M211="KHG",M211="EARTH"),R211/100,""))</f>
        <v/>
      </c>
    </row>
    <row r="212" customFormat="false" ht="22.35" hidden="false" customHeight="false" outlineLevel="0" collapsed="false">
      <c r="A212" s="6" t="s">
        <v>490</v>
      </c>
      <c r="B212" s="6" t="s">
        <v>491</v>
      </c>
      <c r="C212" s="6" t="s">
        <v>615</v>
      </c>
      <c r="D212" s="9" t="s">
        <v>616</v>
      </c>
      <c r="E212" s="9" t="s">
        <v>617</v>
      </c>
      <c r="F212" s="9" t="s">
        <v>618</v>
      </c>
      <c r="G212" s="9" t="s">
        <v>619</v>
      </c>
      <c r="H212" s="12" t="n">
        <v>25.495</v>
      </c>
      <c r="I212" s="6" t="s">
        <v>71</v>
      </c>
      <c r="J212" s="6" t="s">
        <v>620</v>
      </c>
      <c r="K212" s="6" t="s">
        <v>621</v>
      </c>
      <c r="L212" s="6"/>
      <c r="M212" s="6" t="s">
        <v>37</v>
      </c>
      <c r="N212" s="13" t="str">
        <f aca="false">IFERROR(INDEX(Rates!$B$5:$B$84,MATCH(M212,Rates!$A$5:$A$84,0)),"")</f>
        <v>Cement OPC, 50 kg bag (Lucky / Bestway / Maple Leaf)</v>
      </c>
      <c r="O212" s="12" t="n">
        <v>4.5745</v>
      </c>
      <c r="P212" s="14" t="str">
        <f aca="false">IFERROR(INDEX(Rates!$C$5:$C$84,MATCH(M212,Rates!$A$5:$A$84,0)),"")</f>
        <v>bag</v>
      </c>
      <c r="Q212" s="15" t="n">
        <f aca="false">IFERROR(INDEX(Rates!$D$5:$D$84,MATCH(M212,Rates!$A$5:$A$84,0)),0)</f>
        <v>0.03</v>
      </c>
      <c r="R212" s="12" t="n">
        <f aca="false">O212*(1+Q212)</f>
        <v>4.711735</v>
      </c>
      <c r="S212" s="16" t="n">
        <f aca="false">IFERROR(INDEX(Rates!$E$5:$E$84,MATCH(M212,Rates!$A$5:$A$84,0)),0)</f>
        <v>1560</v>
      </c>
      <c r="T212" s="7" t="n">
        <f aca="false">R212*S212</f>
        <v>7350.3066</v>
      </c>
      <c r="U212" s="17" t="str">
        <f aca="false">IF(M212="BRK",R212/2000,IF(OR(M212="SNDC",M212="SNDM",M212="CRS",M212="KHG",M212="EARTH"),R212/100,""))</f>
        <v/>
      </c>
    </row>
    <row r="213" customFormat="false" ht="15" hidden="false" customHeight="false" outlineLevel="0" collapsed="false">
      <c r="A213" s="6" t="s">
        <v>490</v>
      </c>
      <c r="B213" s="6" t="s">
        <v>491</v>
      </c>
      <c r="C213" s="6" t="s">
        <v>615</v>
      </c>
      <c r="D213" s="9"/>
      <c r="E213" s="9"/>
      <c r="F213" s="9"/>
      <c r="G213" s="9"/>
      <c r="H213" s="12"/>
      <c r="I213" s="6"/>
      <c r="J213" s="6" t="s">
        <v>620</v>
      </c>
      <c r="K213" s="6" t="s">
        <v>621</v>
      </c>
      <c r="L213" s="6"/>
      <c r="M213" s="6" t="s">
        <v>69</v>
      </c>
      <c r="N213" s="13" t="str">
        <f aca="false">IFERROR(INDEX(Rates!$B$5:$B$84,MATCH(M213,Rates!$A$5:$A$84,0)),"")</f>
        <v>Chenab sand (concrete, screed)</v>
      </c>
      <c r="O213" s="12" t="n">
        <v>11.4362</v>
      </c>
      <c r="P213" s="14" t="str">
        <f aca="false">IFERROR(INDEX(Rates!$C$5:$C$84,MATCH(M213,Rates!$A$5:$A$84,0)),"")</f>
        <v>cft</v>
      </c>
      <c r="Q213" s="15" t="n">
        <f aca="false">IFERROR(INDEX(Rates!$D$5:$D$84,MATCH(M213,Rates!$A$5:$A$84,0)),0)</f>
        <v>0.08</v>
      </c>
      <c r="R213" s="12" t="n">
        <f aca="false">O213*(1+Q213)</f>
        <v>12.351096</v>
      </c>
      <c r="S213" s="16" t="n">
        <f aca="false">IFERROR(INDEX(Rates!$E$5:$E$84,MATCH(M213,Rates!$A$5:$A$84,0)),0)</f>
        <v>65</v>
      </c>
      <c r="T213" s="7" t="n">
        <f aca="false">R213*S213</f>
        <v>802.82124</v>
      </c>
      <c r="U213" s="17" t="n">
        <f aca="false">IF(M213="BRK",R213/2000,IF(OR(M213="SNDC",M213="SNDM",M213="CRS",M213="KHG",M213="EARTH"),R213/100,""))</f>
        <v>0.12351096</v>
      </c>
    </row>
    <row r="214" customFormat="false" ht="15" hidden="false" customHeight="false" outlineLevel="0" collapsed="false">
      <c r="A214" s="6" t="s">
        <v>490</v>
      </c>
      <c r="B214" s="6" t="s">
        <v>491</v>
      </c>
      <c r="C214" s="6" t="s">
        <v>615</v>
      </c>
      <c r="D214" s="9"/>
      <c r="E214" s="9"/>
      <c r="F214" s="9"/>
      <c r="G214" s="9"/>
      <c r="H214" s="12"/>
      <c r="I214" s="6"/>
      <c r="J214" s="6" t="s">
        <v>620</v>
      </c>
      <c r="K214" s="6" t="s">
        <v>621</v>
      </c>
      <c r="L214" s="6"/>
      <c r="M214" s="6" t="s">
        <v>79</v>
      </c>
      <c r="N214" s="13" t="str">
        <f aca="false">IFERROR(INDEX(Rates!$B$5:$B$84,MATCH(M214,Rates!$A$5:$A$84,0)),"")</f>
        <v>Crush ¾" down, Sargodha (bajri)</v>
      </c>
      <c r="O214" s="12" t="n">
        <v>22.8725</v>
      </c>
      <c r="P214" s="14" t="str">
        <f aca="false">IFERROR(INDEX(Rates!$C$5:$C$84,MATCH(M214,Rates!$A$5:$A$84,0)),"")</f>
        <v>cft</v>
      </c>
      <c r="Q214" s="15" t="n">
        <f aca="false">IFERROR(INDEX(Rates!$D$5:$D$84,MATCH(M214,Rates!$A$5:$A$84,0)),0)</f>
        <v>0.05</v>
      </c>
      <c r="R214" s="12" t="n">
        <f aca="false">O214*(1+Q214)</f>
        <v>24.016125</v>
      </c>
      <c r="S214" s="16" t="n">
        <f aca="false">IFERROR(INDEX(Rates!$E$5:$E$84,MATCH(M214,Rates!$A$5:$A$84,0)),0)</f>
        <v>110</v>
      </c>
      <c r="T214" s="7" t="n">
        <f aca="false">R214*S214</f>
        <v>2641.77375</v>
      </c>
      <c r="U214" s="17" t="n">
        <f aca="false">IF(M214="BRK",R214/2000,IF(OR(M214="SNDC",M214="SNDM",M214="CRS",M214="KHG",M214="EARTH"),R214/100,""))</f>
        <v>0.24016125</v>
      </c>
    </row>
    <row r="215" customFormat="false" ht="22.35" hidden="false" customHeight="false" outlineLevel="0" collapsed="false">
      <c r="A215" s="6" t="s">
        <v>490</v>
      </c>
      <c r="B215" s="6" t="s">
        <v>491</v>
      </c>
      <c r="C215" s="6" t="s">
        <v>615</v>
      </c>
      <c r="D215" s="9"/>
      <c r="E215" s="9"/>
      <c r="F215" s="9"/>
      <c r="G215" s="9"/>
      <c r="H215" s="12"/>
      <c r="I215" s="6"/>
      <c r="J215" s="6" t="s">
        <v>620</v>
      </c>
      <c r="K215" s="6" t="s">
        <v>621</v>
      </c>
      <c r="L215" s="6"/>
      <c r="M215" s="6" t="s">
        <v>56</v>
      </c>
      <c r="N215" s="13" t="str">
        <f aca="false">IFERROR(INDEX(Rates!$B$5:$B$84,MATCH(M215,Rates!$A$5:$A$84,0)),"")</f>
        <v>Steel Grade 60 deformed, #3 (10 mm) (Amreli / Mughal / FF Steel)</v>
      </c>
      <c r="O215" s="12" t="n">
        <v>101.1934</v>
      </c>
      <c r="P215" s="14" t="str">
        <f aca="false">IFERROR(INDEX(Rates!$C$5:$C$84,MATCH(M215,Rates!$A$5:$A$84,0)),"")</f>
        <v>kg</v>
      </c>
      <c r="Q215" s="15" t="n">
        <f aca="false">IFERROR(INDEX(Rates!$D$5:$D$84,MATCH(M215,Rates!$A$5:$A$84,0)),0)</f>
        <v>0.04</v>
      </c>
      <c r="R215" s="12" t="n">
        <f aca="false">O215*(1+Q215)</f>
        <v>105.241136</v>
      </c>
      <c r="S215" s="16" t="n">
        <f aca="false">IFERROR(INDEX(Rates!$E$5:$E$84,MATCH(M215,Rates!$A$5:$A$84,0)),0)</f>
        <v>262</v>
      </c>
      <c r="T215" s="7" t="n">
        <f aca="false">R215*S215</f>
        <v>27573.177632</v>
      </c>
      <c r="U215" s="17" t="str">
        <f aca="false">IF(M215="BRK",R215/2000,IF(OR(M215="SNDC",M215="SNDM",M215="CRS",M215="KHG",M215="EARTH"),R215/100,""))</f>
        <v/>
      </c>
    </row>
    <row r="216" customFormat="false" ht="22.35" hidden="false" customHeight="false" outlineLevel="0" collapsed="false">
      <c r="A216" s="6" t="s">
        <v>490</v>
      </c>
      <c r="B216" s="6" t="s">
        <v>491</v>
      </c>
      <c r="C216" s="6" t="s">
        <v>622</v>
      </c>
      <c r="D216" s="9" t="s">
        <v>616</v>
      </c>
      <c r="E216" s="9" t="s">
        <v>623</v>
      </c>
      <c r="F216" s="9" t="s">
        <v>624</v>
      </c>
      <c r="G216" s="9" t="s">
        <v>625</v>
      </c>
      <c r="H216" s="12" t="n">
        <v>246.75</v>
      </c>
      <c r="I216" s="6" t="s">
        <v>394</v>
      </c>
      <c r="J216" s="6" t="s">
        <v>620</v>
      </c>
      <c r="K216" s="6"/>
      <c r="L216" s="6"/>
      <c r="M216" s="6" t="s">
        <v>112</v>
      </c>
      <c r="N216" s="13" t="str">
        <f aca="false">IFERROR(INDEX(Rates!$B$5:$B$84,MATCH(M216,Rates!$A$5:$A$84,0)),"")</f>
        <v>Polymer-modified cementitious waterproof coating (2-component)</v>
      </c>
      <c r="O216" s="12" t="n">
        <v>68.7715</v>
      </c>
      <c r="P216" s="14" t="str">
        <f aca="false">IFERROR(INDEX(Rates!$C$5:$C$84,MATCH(M216,Rates!$A$5:$A$84,0)),"")</f>
        <v>kg</v>
      </c>
      <c r="Q216" s="15" t="n">
        <f aca="false">IFERROR(INDEX(Rates!$D$5:$D$84,MATCH(M216,Rates!$A$5:$A$84,0)),0)</f>
        <v>0.05</v>
      </c>
      <c r="R216" s="12" t="n">
        <f aca="false">O216*(1+Q216)</f>
        <v>72.210075</v>
      </c>
      <c r="S216" s="16" t="n">
        <f aca="false">IFERROR(INDEX(Rates!$E$5:$E$84,MATCH(M216,Rates!$A$5:$A$84,0)),0)</f>
        <v>450</v>
      </c>
      <c r="T216" s="7" t="n">
        <f aca="false">R216*S216</f>
        <v>32494.53375</v>
      </c>
      <c r="U216" s="17" t="str">
        <f aca="false">IF(M216="BRK",R216/2000,IF(OR(M216="SNDC",M216="SNDM",M216="CRS",M216="KHG",M216="EARTH"),R216/100,""))</f>
        <v/>
      </c>
    </row>
    <row r="217" customFormat="false" ht="22.35" hidden="false" customHeight="false" outlineLevel="0" collapsed="false">
      <c r="A217" s="6" t="s">
        <v>490</v>
      </c>
      <c r="B217" s="6" t="s">
        <v>491</v>
      </c>
      <c r="C217" s="6" t="s">
        <v>626</v>
      </c>
      <c r="D217" s="9" t="s">
        <v>616</v>
      </c>
      <c r="E217" s="9" t="s">
        <v>627</v>
      </c>
      <c r="F217" s="9" t="s">
        <v>628</v>
      </c>
      <c r="G217" s="9" t="s">
        <v>629</v>
      </c>
      <c r="H217" s="12" t="n">
        <v>143.344</v>
      </c>
      <c r="I217" s="6" t="s">
        <v>71</v>
      </c>
      <c r="J217" s="6" t="s">
        <v>620</v>
      </c>
      <c r="K217" s="6"/>
      <c r="L217" s="6"/>
      <c r="M217" s="6" t="s">
        <v>43</v>
      </c>
      <c r="N217" s="13" t="str">
        <f aca="false">IFERROR(INDEX(Rates!$B$5:$B$84,MATCH(M217,Rates!$A$5:$A$84,0)),"")</f>
        <v>Bricks, first class (awwal), 9" x 4½" x 3"</v>
      </c>
      <c r="O217" s="12" t="n">
        <v>1354.5984</v>
      </c>
      <c r="P217" s="14" t="str">
        <f aca="false">IFERROR(INDEX(Rates!$C$5:$C$84,MATCH(M217,Rates!$A$5:$A$84,0)),"")</f>
        <v>nos</v>
      </c>
      <c r="Q217" s="15" t="n">
        <f aca="false">IFERROR(INDEX(Rates!$D$5:$D$84,MATCH(M217,Rates!$A$5:$A$84,0)),0)</f>
        <v>0.05</v>
      </c>
      <c r="R217" s="12" t="n">
        <f aca="false">O217*(1+Q217)</f>
        <v>1422.32832</v>
      </c>
      <c r="S217" s="16" t="n">
        <f aca="false">IFERROR(INDEX(Rates!$E$5:$E$84,MATCH(M217,Rates!$A$5:$A$84,0)),0)</f>
        <v>16</v>
      </c>
      <c r="T217" s="7" t="n">
        <f aca="false">R217*S217</f>
        <v>22757.25312</v>
      </c>
      <c r="U217" s="17" t="n">
        <f aca="false">IF(M217="BRK",R217/2000,IF(OR(M217="SNDC",M217="SNDM",M217="CRS",M217="KHG",M217="EARTH"),R217/100,""))</f>
        <v>0.71116416</v>
      </c>
    </row>
    <row r="218" customFormat="false" ht="22.35" hidden="false" customHeight="false" outlineLevel="0" collapsed="false">
      <c r="A218" s="6" t="s">
        <v>490</v>
      </c>
      <c r="B218" s="6" t="s">
        <v>491</v>
      </c>
      <c r="C218" s="6" t="s">
        <v>626</v>
      </c>
      <c r="D218" s="9"/>
      <c r="E218" s="9"/>
      <c r="F218" s="9"/>
      <c r="G218" s="9"/>
      <c r="H218" s="12"/>
      <c r="I218" s="6"/>
      <c r="J218" s="6" t="s">
        <v>620</v>
      </c>
      <c r="K218" s="6"/>
      <c r="L218" s="6"/>
      <c r="M218" s="6" t="s">
        <v>37</v>
      </c>
      <c r="N218" s="13" t="str">
        <f aca="false">IFERROR(INDEX(Rates!$B$5:$B$84,MATCH(M218,Rates!$A$5:$A$84,0)),"")</f>
        <v>Cement OPC, 50 kg bag (Lucky / Bestway / Maple Leaf)</v>
      </c>
      <c r="O218" s="12" t="n">
        <v>6.5365</v>
      </c>
      <c r="P218" s="14" t="str">
        <f aca="false">IFERROR(INDEX(Rates!$C$5:$C$84,MATCH(M218,Rates!$A$5:$A$84,0)),"")</f>
        <v>bag</v>
      </c>
      <c r="Q218" s="15" t="n">
        <f aca="false">IFERROR(INDEX(Rates!$D$5:$D$84,MATCH(M218,Rates!$A$5:$A$84,0)),0)</f>
        <v>0.03</v>
      </c>
      <c r="R218" s="12" t="n">
        <f aca="false">O218*(1+Q218)</f>
        <v>6.732595</v>
      </c>
      <c r="S218" s="16" t="n">
        <f aca="false">IFERROR(INDEX(Rates!$E$5:$E$84,MATCH(M218,Rates!$A$5:$A$84,0)),0)</f>
        <v>1560</v>
      </c>
      <c r="T218" s="7" t="n">
        <f aca="false">R218*S218</f>
        <v>10502.8482</v>
      </c>
      <c r="U218" s="17" t="str">
        <f aca="false">IF(M218="BRK",R218/2000,IF(OR(M218="SNDC",M218="SNDM",M218="CRS",M218="KHG",M218="EARTH"),R218/100,""))</f>
        <v/>
      </c>
    </row>
    <row r="219" customFormat="false" ht="15" hidden="false" customHeight="false" outlineLevel="0" collapsed="false">
      <c r="A219" s="6" t="s">
        <v>490</v>
      </c>
      <c r="B219" s="6" t="s">
        <v>491</v>
      </c>
      <c r="C219" s="6" t="s">
        <v>626</v>
      </c>
      <c r="D219" s="9"/>
      <c r="E219" s="9"/>
      <c r="F219" s="9"/>
      <c r="G219" s="9"/>
      <c r="H219" s="12"/>
      <c r="I219" s="6"/>
      <c r="J219" s="6" t="s">
        <v>620</v>
      </c>
      <c r="K219" s="6"/>
      <c r="L219" s="6"/>
      <c r="M219" s="6" t="s">
        <v>76</v>
      </c>
      <c r="N219" s="13" t="str">
        <f aca="false">IFERROR(INDEX(Rates!$B$5:$B$84,MATCH(M219,Rates!$A$5:$A$84,0)),"")</f>
        <v>Ravi sand (mortar, plaster, blinding, fill)</v>
      </c>
      <c r="O219" s="12" t="n">
        <v>49.0236</v>
      </c>
      <c r="P219" s="14" t="str">
        <f aca="false">IFERROR(INDEX(Rates!$C$5:$C$84,MATCH(M219,Rates!$A$5:$A$84,0)),"")</f>
        <v>cft</v>
      </c>
      <c r="Q219" s="15" t="n">
        <f aca="false">IFERROR(INDEX(Rates!$D$5:$D$84,MATCH(M219,Rates!$A$5:$A$84,0)),0)</f>
        <v>0.08</v>
      </c>
      <c r="R219" s="12" t="n">
        <f aca="false">O219*(1+Q219)</f>
        <v>52.945488</v>
      </c>
      <c r="S219" s="16" t="n">
        <f aca="false">IFERROR(INDEX(Rates!$E$5:$E$84,MATCH(M219,Rates!$A$5:$A$84,0)),0)</f>
        <v>40</v>
      </c>
      <c r="T219" s="7" t="n">
        <f aca="false">R219*S219</f>
        <v>2117.81952</v>
      </c>
      <c r="U219" s="17" t="n">
        <f aca="false">IF(M219="BRK",R219/2000,IF(OR(M219="SNDC",M219="SNDM",M219="CRS",M219="KHG",M219="EARTH"),R219/100,""))</f>
        <v>0.52945488</v>
      </c>
    </row>
    <row r="220" customFormat="false" ht="32.8" hidden="false" customHeight="false" outlineLevel="0" collapsed="false">
      <c r="A220" s="6" t="s">
        <v>490</v>
      </c>
      <c r="B220" s="6" t="s">
        <v>491</v>
      </c>
      <c r="C220" s="6" t="s">
        <v>630</v>
      </c>
      <c r="D220" s="9" t="s">
        <v>631</v>
      </c>
      <c r="E220" s="9" t="s">
        <v>632</v>
      </c>
      <c r="F220" s="9" t="s">
        <v>633</v>
      </c>
      <c r="G220" s="9" t="s">
        <v>634</v>
      </c>
      <c r="H220" s="12" t="n">
        <v>388.519</v>
      </c>
      <c r="I220" s="6" t="s">
        <v>71</v>
      </c>
      <c r="J220" s="6" t="s">
        <v>635</v>
      </c>
      <c r="K220" s="6"/>
      <c r="L220" s="6"/>
      <c r="M220" s="6" t="s">
        <v>37</v>
      </c>
      <c r="N220" s="13" t="str">
        <f aca="false">IFERROR(INDEX(Rates!$B$5:$B$84,MATCH(M220,Rates!$A$5:$A$84,0)),"")</f>
        <v>Cement OPC, 50 kg bag (Lucky / Bestway / Maple Leaf)</v>
      </c>
      <c r="O220" s="12" t="n">
        <v>37.5369</v>
      </c>
      <c r="P220" s="14" t="str">
        <f aca="false">IFERROR(INDEX(Rates!$C$5:$C$84,MATCH(M220,Rates!$A$5:$A$84,0)),"")</f>
        <v>bag</v>
      </c>
      <c r="Q220" s="15" t="n">
        <f aca="false">IFERROR(INDEX(Rates!$D$5:$D$84,MATCH(M220,Rates!$A$5:$A$84,0)),0)</f>
        <v>0.03</v>
      </c>
      <c r="R220" s="12" t="n">
        <f aca="false">O220*(1+Q220)</f>
        <v>38.663007</v>
      </c>
      <c r="S220" s="16" t="n">
        <f aca="false">IFERROR(INDEX(Rates!$E$5:$E$84,MATCH(M220,Rates!$A$5:$A$84,0)),0)</f>
        <v>1560</v>
      </c>
      <c r="T220" s="7" t="n">
        <f aca="false">R220*S220</f>
        <v>60314.29092</v>
      </c>
      <c r="U220" s="17" t="str">
        <f aca="false">IF(M220="BRK",R220/2000,IF(OR(M220="SNDC",M220="SNDM",M220="CRS",M220="KHG",M220="EARTH"),R220/100,""))</f>
        <v/>
      </c>
    </row>
    <row r="221" customFormat="false" ht="15" hidden="false" customHeight="false" outlineLevel="0" collapsed="false">
      <c r="A221" s="6" t="s">
        <v>490</v>
      </c>
      <c r="B221" s="6" t="s">
        <v>491</v>
      </c>
      <c r="C221" s="6" t="s">
        <v>630</v>
      </c>
      <c r="D221" s="9"/>
      <c r="E221" s="9"/>
      <c r="F221" s="9"/>
      <c r="G221" s="9"/>
      <c r="H221" s="12"/>
      <c r="I221" s="6"/>
      <c r="J221" s="6" t="s">
        <v>635</v>
      </c>
      <c r="K221" s="6"/>
      <c r="L221" s="6"/>
      <c r="M221" s="6" t="s">
        <v>69</v>
      </c>
      <c r="N221" s="13" t="str">
        <f aca="false">IFERROR(INDEX(Rates!$B$5:$B$84,MATCH(M221,Rates!$A$5:$A$84,0)),"")</f>
        <v>Chenab sand (concrete, screed)</v>
      </c>
      <c r="O221" s="12" t="n">
        <v>187.6844</v>
      </c>
      <c r="P221" s="14" t="str">
        <f aca="false">IFERROR(INDEX(Rates!$C$5:$C$84,MATCH(M221,Rates!$A$5:$A$84,0)),"")</f>
        <v>cft</v>
      </c>
      <c r="Q221" s="15" t="n">
        <f aca="false">IFERROR(INDEX(Rates!$D$5:$D$84,MATCH(M221,Rates!$A$5:$A$84,0)),0)</f>
        <v>0.08</v>
      </c>
      <c r="R221" s="12" t="n">
        <f aca="false">O221*(1+Q221)</f>
        <v>202.699152</v>
      </c>
      <c r="S221" s="16" t="n">
        <f aca="false">IFERROR(INDEX(Rates!$E$5:$E$84,MATCH(M221,Rates!$A$5:$A$84,0)),0)</f>
        <v>65</v>
      </c>
      <c r="T221" s="7" t="n">
        <f aca="false">R221*S221</f>
        <v>13175.44488</v>
      </c>
      <c r="U221" s="17" t="n">
        <f aca="false">IF(M221="BRK",R221/2000,IF(OR(M221="SNDC",M221="SNDM",M221="CRS",M221="KHG",M221="EARTH"),R221/100,""))</f>
        <v>2.02699152</v>
      </c>
    </row>
    <row r="222" customFormat="false" ht="15" hidden="false" customHeight="false" outlineLevel="0" collapsed="false">
      <c r="A222" s="6" t="s">
        <v>490</v>
      </c>
      <c r="B222" s="6" t="s">
        <v>491</v>
      </c>
      <c r="C222" s="6" t="s">
        <v>630</v>
      </c>
      <c r="D222" s="9"/>
      <c r="E222" s="9"/>
      <c r="F222" s="9"/>
      <c r="G222" s="9"/>
      <c r="H222" s="12"/>
      <c r="I222" s="6"/>
      <c r="J222" s="6" t="s">
        <v>635</v>
      </c>
      <c r="K222" s="6"/>
      <c r="L222" s="6"/>
      <c r="M222" s="6" t="s">
        <v>79</v>
      </c>
      <c r="N222" s="13" t="str">
        <f aca="false">IFERROR(INDEX(Rates!$B$5:$B$84,MATCH(M222,Rates!$A$5:$A$84,0)),"")</f>
        <v>Crush ¾" down, Sargodha (bajri)</v>
      </c>
      <c r="O222" s="12" t="n">
        <v>375.3689</v>
      </c>
      <c r="P222" s="14" t="str">
        <f aca="false">IFERROR(INDEX(Rates!$C$5:$C$84,MATCH(M222,Rates!$A$5:$A$84,0)),"")</f>
        <v>cft</v>
      </c>
      <c r="Q222" s="15" t="n">
        <f aca="false">IFERROR(INDEX(Rates!$D$5:$D$84,MATCH(M222,Rates!$A$5:$A$84,0)),0)</f>
        <v>0.05</v>
      </c>
      <c r="R222" s="12" t="n">
        <f aca="false">O222*(1+Q222)</f>
        <v>394.137345</v>
      </c>
      <c r="S222" s="16" t="n">
        <f aca="false">IFERROR(INDEX(Rates!$E$5:$E$84,MATCH(M222,Rates!$A$5:$A$84,0)),0)</f>
        <v>110</v>
      </c>
      <c r="T222" s="7" t="n">
        <f aca="false">R222*S222</f>
        <v>43355.10795</v>
      </c>
      <c r="U222" s="17" t="n">
        <f aca="false">IF(M222="BRK",R222/2000,IF(OR(M222="SNDC",M222="SNDM",M222="CRS",M222="KHG",M222="EARTH"),R222/100,""))</f>
        <v>3.94137345</v>
      </c>
    </row>
    <row r="223" customFormat="false" ht="32.8" hidden="false" customHeight="false" outlineLevel="0" collapsed="false">
      <c r="A223" s="6" t="s">
        <v>636</v>
      </c>
      <c r="B223" s="6" t="s">
        <v>637</v>
      </c>
      <c r="C223" s="6" t="s">
        <v>638</v>
      </c>
      <c r="D223" s="9" t="s">
        <v>639</v>
      </c>
      <c r="E223" s="9" t="s">
        <v>640</v>
      </c>
      <c r="F223" s="9" t="s">
        <v>641</v>
      </c>
      <c r="G223" s="9" t="s">
        <v>642</v>
      </c>
      <c r="H223" s="12" t="n">
        <v>393.315</v>
      </c>
      <c r="I223" s="6" t="s">
        <v>71</v>
      </c>
      <c r="J223" s="6" t="s">
        <v>643</v>
      </c>
      <c r="K223" s="6"/>
      <c r="L223" s="6"/>
      <c r="M223" s="6" t="s">
        <v>37</v>
      </c>
      <c r="N223" s="13" t="str">
        <f aca="false">IFERROR(INDEX(Rates!$B$5:$B$84,MATCH(M223,Rates!$A$5:$A$84,0)),"")</f>
        <v>Cement OPC, 50 kg bag (Lucky / Bestway / Maple Leaf)</v>
      </c>
      <c r="O223" s="12" t="n">
        <v>83.6975</v>
      </c>
      <c r="P223" s="14" t="str">
        <f aca="false">IFERROR(INDEX(Rates!$C$5:$C$84,MATCH(M223,Rates!$A$5:$A$84,0)),"")</f>
        <v>bag</v>
      </c>
      <c r="Q223" s="15" t="n">
        <f aca="false">IFERROR(INDEX(Rates!$D$5:$D$84,MATCH(M223,Rates!$A$5:$A$84,0)),0)</f>
        <v>0.03</v>
      </c>
      <c r="R223" s="12" t="n">
        <f aca="false">O223*(1+Q223)</f>
        <v>86.208425</v>
      </c>
      <c r="S223" s="16" t="n">
        <f aca="false">IFERROR(INDEX(Rates!$E$5:$E$84,MATCH(M223,Rates!$A$5:$A$84,0)),0)</f>
        <v>1560</v>
      </c>
      <c r="T223" s="7" t="n">
        <f aca="false">R223*S223</f>
        <v>134485.143</v>
      </c>
      <c r="U223" s="17" t="str">
        <f aca="false">IF(M223="BRK",R223/2000,IF(OR(M223="SNDC",M223="SNDM",M223="CRS",M223="KHG",M223="EARTH"),R223/100,""))</f>
        <v/>
      </c>
    </row>
    <row r="224" customFormat="false" ht="15" hidden="false" customHeight="false" outlineLevel="0" collapsed="false">
      <c r="A224" s="6" t="s">
        <v>636</v>
      </c>
      <c r="B224" s="6" t="s">
        <v>637</v>
      </c>
      <c r="C224" s="6" t="s">
        <v>638</v>
      </c>
      <c r="D224" s="9"/>
      <c r="E224" s="9"/>
      <c r="F224" s="9"/>
      <c r="G224" s="9"/>
      <c r="H224" s="12"/>
      <c r="I224" s="6"/>
      <c r="J224" s="6" t="s">
        <v>643</v>
      </c>
      <c r="K224" s="6"/>
      <c r="L224" s="6"/>
      <c r="M224" s="6" t="s">
        <v>69</v>
      </c>
      <c r="N224" s="13" t="str">
        <f aca="false">IFERROR(INDEX(Rates!$B$5:$B$84,MATCH(M224,Rates!$A$5:$A$84,0)),"")</f>
        <v>Chenab sand (concrete, screed)</v>
      </c>
      <c r="O224" s="12" t="n">
        <v>418.4876</v>
      </c>
      <c r="P224" s="14" t="str">
        <f aca="false">IFERROR(INDEX(Rates!$C$5:$C$84,MATCH(M224,Rates!$A$5:$A$84,0)),"")</f>
        <v>cft</v>
      </c>
      <c r="Q224" s="15" t="n">
        <f aca="false">IFERROR(INDEX(Rates!$D$5:$D$84,MATCH(M224,Rates!$A$5:$A$84,0)),0)</f>
        <v>0.08</v>
      </c>
      <c r="R224" s="12" t="n">
        <f aca="false">O224*(1+Q224)</f>
        <v>451.966608</v>
      </c>
      <c r="S224" s="16" t="n">
        <f aca="false">IFERROR(INDEX(Rates!$E$5:$E$84,MATCH(M224,Rates!$A$5:$A$84,0)),0)</f>
        <v>65</v>
      </c>
      <c r="T224" s="7" t="n">
        <f aca="false">R224*S224</f>
        <v>29377.82952</v>
      </c>
      <c r="U224" s="17" t="n">
        <f aca="false">IF(M224="BRK",R224/2000,IF(OR(M224="SNDC",M224="SNDM",M224="CRS",M224="KHG",M224="EARTH"),R224/100,""))</f>
        <v>4.51966608</v>
      </c>
    </row>
    <row r="225" customFormat="false" ht="22.35" hidden="false" customHeight="false" outlineLevel="0" collapsed="false">
      <c r="A225" s="6" t="s">
        <v>636</v>
      </c>
      <c r="B225" s="6" t="s">
        <v>637</v>
      </c>
      <c r="C225" s="6" t="s">
        <v>644</v>
      </c>
      <c r="D225" s="9" t="s">
        <v>645</v>
      </c>
      <c r="E225" s="9" t="s">
        <v>646</v>
      </c>
      <c r="F225" s="9" t="s">
        <v>647</v>
      </c>
      <c r="G225" s="9" t="s">
        <v>648</v>
      </c>
      <c r="H225" s="12" t="n">
        <v>62.887</v>
      </c>
      <c r="I225" s="6" t="s">
        <v>101</v>
      </c>
      <c r="J225" s="6" t="s">
        <v>643</v>
      </c>
      <c r="K225" s="6"/>
      <c r="L225" s="6"/>
      <c r="M225" s="6" t="s">
        <v>99</v>
      </c>
      <c r="N225" s="13" t="str">
        <f aca="false">IFERROR(INDEX(Rates!$B$5:$B$84,MATCH(M225,Rates!$A$5:$A$84,0)),"")</f>
        <v>Bitumen primer</v>
      </c>
      <c r="O225" s="12" t="n">
        <v>62.8872</v>
      </c>
      <c r="P225" s="14" t="str">
        <f aca="false">IFERROR(INDEX(Rates!$C$5:$C$84,MATCH(M225,Rates!$A$5:$A$84,0)),"")</f>
        <v>L</v>
      </c>
      <c r="Q225" s="15" t="n">
        <f aca="false">IFERROR(INDEX(Rates!$D$5:$D$84,MATCH(M225,Rates!$A$5:$A$84,0)),0)</f>
        <v>0.05</v>
      </c>
      <c r="R225" s="12" t="n">
        <f aca="false">O225*(1+Q225)</f>
        <v>66.03156</v>
      </c>
      <c r="S225" s="16" t="n">
        <f aca="false">IFERROR(INDEX(Rates!$E$5:$E$84,MATCH(M225,Rates!$A$5:$A$84,0)),0)</f>
        <v>900</v>
      </c>
      <c r="T225" s="7" t="n">
        <f aca="false">R225*S225</f>
        <v>59428.404</v>
      </c>
      <c r="U225" s="17" t="str">
        <f aca="false">IF(M225="BRK",R225/2000,IF(OR(M225="SNDC",M225="SNDM",M225="CRS",M225="KHG",M225="EARTH"),R225/100,""))</f>
        <v/>
      </c>
    </row>
    <row r="226" customFormat="false" ht="32.8" hidden="false" customHeight="false" outlineLevel="0" collapsed="false">
      <c r="A226" s="6" t="s">
        <v>636</v>
      </c>
      <c r="B226" s="6" t="s">
        <v>637</v>
      </c>
      <c r="C226" s="6" t="s">
        <v>649</v>
      </c>
      <c r="D226" s="9" t="s">
        <v>645</v>
      </c>
      <c r="E226" s="9" t="s">
        <v>650</v>
      </c>
      <c r="F226" s="9" t="s">
        <v>651</v>
      </c>
      <c r="G226" s="9" t="s">
        <v>652</v>
      </c>
      <c r="H226" s="12" t="n">
        <v>209.624</v>
      </c>
      <c r="I226" s="6" t="s">
        <v>105</v>
      </c>
      <c r="J226" s="6" t="s">
        <v>653</v>
      </c>
      <c r="K226" s="6"/>
      <c r="L226" s="6"/>
      <c r="M226" s="6" t="s">
        <v>103</v>
      </c>
      <c r="N226" s="13" t="str">
        <f aca="false">IFERROR(INDEX(Rates!$B$5:$B$84,MATCH(M226,Rates!$A$5:$A$84,0)),"")</f>
        <v>4 mm APP/SBS modified-bitumen membrane (1 m x 10 m roll)</v>
      </c>
      <c r="O226" s="12" t="n">
        <v>209.6239</v>
      </c>
      <c r="P226" s="14" t="str">
        <f aca="false">IFERROR(INDEX(Rates!$C$5:$C$84,MATCH(M226,Rates!$A$5:$A$84,0)),"")</f>
        <v>m2</v>
      </c>
      <c r="Q226" s="15" t="n">
        <f aca="false">IFERROR(INDEX(Rates!$D$5:$D$84,MATCH(M226,Rates!$A$5:$A$84,0)),0)</f>
        <v>0.05</v>
      </c>
      <c r="R226" s="12" t="n">
        <f aca="false">O226*(1+Q226)</f>
        <v>220.105095</v>
      </c>
      <c r="S226" s="16" t="n">
        <f aca="false">IFERROR(INDEX(Rates!$E$5:$E$84,MATCH(M226,Rates!$A$5:$A$84,0)),0)</f>
        <v>700</v>
      </c>
      <c r="T226" s="7" t="n">
        <f aca="false">R226*S226</f>
        <v>154073.5665</v>
      </c>
      <c r="U226" s="17" t="str">
        <f aca="false">IF(M226="BRK",R226/2000,IF(OR(M226="SNDC",M226="SNDM",M226="CRS",M226="KHG",M226="EARTH"),R226/100,""))</f>
        <v/>
      </c>
    </row>
    <row r="227" customFormat="false" ht="22.35" hidden="false" customHeight="false" outlineLevel="0" collapsed="false">
      <c r="A227" s="6" t="s">
        <v>636</v>
      </c>
      <c r="B227" s="6" t="s">
        <v>637</v>
      </c>
      <c r="C227" s="6" t="s">
        <v>654</v>
      </c>
      <c r="D227" s="9" t="s">
        <v>645</v>
      </c>
      <c r="E227" s="9" t="s">
        <v>655</v>
      </c>
      <c r="F227" s="9"/>
      <c r="G227" s="9" t="s">
        <v>656</v>
      </c>
      <c r="H227" s="12" t="n">
        <v>83.85</v>
      </c>
      <c r="I227" s="6" t="s">
        <v>52</v>
      </c>
      <c r="J227" s="6" t="s">
        <v>643</v>
      </c>
      <c r="K227" s="6"/>
      <c r="L227" s="6"/>
      <c r="M227" s="6" t="s">
        <v>108</v>
      </c>
      <c r="N227" s="13" t="str">
        <f aca="false">IFERROR(INDEX(Rates!$B$5:$B$84,MATCH(M227,Rates!$A$5:$A$84,0)),"")</f>
        <v>LPG for torching (11.8 kg cylinder)</v>
      </c>
      <c r="O227" s="12" t="n">
        <v>83.8496</v>
      </c>
      <c r="P227" s="14" t="str">
        <f aca="false">IFERROR(INDEX(Rates!$C$5:$C$84,MATCH(M227,Rates!$A$5:$A$84,0)),"")</f>
        <v>kg</v>
      </c>
      <c r="Q227" s="15" t="n">
        <f aca="false">IFERROR(INDEX(Rates!$D$5:$D$84,MATCH(M227,Rates!$A$5:$A$84,0)),0)</f>
        <v>0</v>
      </c>
      <c r="R227" s="12" t="n">
        <f aca="false">O227*(1+Q227)</f>
        <v>83.8496</v>
      </c>
      <c r="S227" s="16" t="n">
        <f aca="false">IFERROR(INDEX(Rates!$E$5:$E$84,MATCH(M227,Rates!$A$5:$A$84,0)),0)</f>
        <v>300</v>
      </c>
      <c r="T227" s="7" t="n">
        <f aca="false">R227*S227</f>
        <v>25154.88</v>
      </c>
      <c r="U227" s="17" t="str">
        <f aca="false">IF(M227="BRK",R227/2000,IF(OR(M227="SNDC",M227="SNDM",M227="CRS",M227="KHG",M227="EARTH"),R227/100,""))</f>
        <v/>
      </c>
    </row>
    <row r="228" customFormat="false" ht="22.35" hidden="false" customHeight="false" outlineLevel="0" collapsed="false">
      <c r="A228" s="6" t="s">
        <v>636</v>
      </c>
      <c r="B228" s="6" t="s">
        <v>637</v>
      </c>
      <c r="C228" s="6" t="s">
        <v>657</v>
      </c>
      <c r="D228" s="9" t="s">
        <v>658</v>
      </c>
      <c r="E228" s="9" t="s">
        <v>659</v>
      </c>
      <c r="F228" s="9" t="s">
        <v>660</v>
      </c>
      <c r="G228" s="9" t="s">
        <v>661</v>
      </c>
      <c r="H228" s="12" t="n">
        <v>15.317</v>
      </c>
      <c r="I228" s="6" t="s">
        <v>71</v>
      </c>
      <c r="J228" s="6" t="s">
        <v>643</v>
      </c>
      <c r="K228" s="6"/>
      <c r="L228" s="6"/>
      <c r="M228" s="6" t="s">
        <v>37</v>
      </c>
      <c r="N228" s="13" t="str">
        <f aca="false">IFERROR(INDEX(Rates!$B$5:$B$84,MATCH(M228,Rates!$A$5:$A$84,0)),"")</f>
        <v>Cement OPC, 50 kg bag (Lucky / Bestway / Maple Leaf)</v>
      </c>
      <c r="O228" s="12" t="n">
        <v>4.0742</v>
      </c>
      <c r="P228" s="14" t="str">
        <f aca="false">IFERROR(INDEX(Rates!$C$5:$C$84,MATCH(M228,Rates!$A$5:$A$84,0)),"")</f>
        <v>bag</v>
      </c>
      <c r="Q228" s="15" t="n">
        <f aca="false">IFERROR(INDEX(Rates!$D$5:$D$84,MATCH(M228,Rates!$A$5:$A$84,0)),0)</f>
        <v>0.03</v>
      </c>
      <c r="R228" s="12" t="n">
        <f aca="false">O228*(1+Q228)</f>
        <v>4.196426</v>
      </c>
      <c r="S228" s="16" t="n">
        <f aca="false">IFERROR(INDEX(Rates!$E$5:$E$84,MATCH(M228,Rates!$A$5:$A$84,0)),0)</f>
        <v>1560</v>
      </c>
      <c r="T228" s="7" t="n">
        <f aca="false">R228*S228</f>
        <v>6546.42456</v>
      </c>
      <c r="U228" s="17" t="str">
        <f aca="false">IF(M228="BRK",R228/2000,IF(OR(M228="SNDC",M228="SNDM",M228="CRS",M228="KHG",M228="EARTH"),R228/100,""))</f>
        <v/>
      </c>
    </row>
    <row r="229" customFormat="false" ht="15" hidden="false" customHeight="false" outlineLevel="0" collapsed="false">
      <c r="A229" s="6" t="s">
        <v>636</v>
      </c>
      <c r="B229" s="6" t="s">
        <v>637</v>
      </c>
      <c r="C229" s="6" t="s">
        <v>657</v>
      </c>
      <c r="D229" s="9"/>
      <c r="E229" s="9"/>
      <c r="F229" s="9"/>
      <c r="G229" s="9"/>
      <c r="H229" s="12"/>
      <c r="I229" s="6"/>
      <c r="J229" s="6" t="s">
        <v>643</v>
      </c>
      <c r="K229" s="6"/>
      <c r="L229" s="6"/>
      <c r="M229" s="6" t="s">
        <v>76</v>
      </c>
      <c r="N229" s="13" t="str">
        <f aca="false">IFERROR(INDEX(Rates!$B$5:$B$84,MATCH(M229,Rates!$A$5:$A$84,0)),"")</f>
        <v>Ravi sand (mortar, plaster, blinding, fill)</v>
      </c>
      <c r="O229" s="12" t="n">
        <v>15.2784</v>
      </c>
      <c r="P229" s="14" t="str">
        <f aca="false">IFERROR(INDEX(Rates!$C$5:$C$84,MATCH(M229,Rates!$A$5:$A$84,0)),"")</f>
        <v>cft</v>
      </c>
      <c r="Q229" s="15" t="n">
        <f aca="false">IFERROR(INDEX(Rates!$D$5:$D$84,MATCH(M229,Rates!$A$5:$A$84,0)),0)</f>
        <v>0.08</v>
      </c>
      <c r="R229" s="12" t="n">
        <f aca="false">O229*(1+Q229)</f>
        <v>16.500672</v>
      </c>
      <c r="S229" s="16" t="n">
        <f aca="false">IFERROR(INDEX(Rates!$E$5:$E$84,MATCH(M229,Rates!$A$5:$A$84,0)),0)</f>
        <v>40</v>
      </c>
      <c r="T229" s="7" t="n">
        <f aca="false">R229*S229</f>
        <v>660.02688</v>
      </c>
      <c r="U229" s="17" t="n">
        <f aca="false">IF(M229="BRK",R229/2000,IF(OR(M229="SNDC",M229="SNDM",M229="CRS",M229="KHG",M229="EARTH"),R229/100,""))</f>
        <v>0.16500672</v>
      </c>
    </row>
    <row r="230" customFormat="false" ht="22.35" hidden="false" customHeight="false" outlineLevel="0" collapsed="false">
      <c r="A230" s="6" t="s">
        <v>636</v>
      </c>
      <c r="B230" s="6" t="s">
        <v>637</v>
      </c>
      <c r="C230" s="6" t="s">
        <v>662</v>
      </c>
      <c r="D230" s="9" t="s">
        <v>645</v>
      </c>
      <c r="E230" s="9" t="s">
        <v>663</v>
      </c>
      <c r="F230" s="9" t="s">
        <v>664</v>
      </c>
      <c r="G230" s="9" t="s">
        <v>665</v>
      </c>
      <c r="H230" s="12" t="n">
        <v>1580.696</v>
      </c>
      <c r="I230" s="6" t="s">
        <v>394</v>
      </c>
      <c r="J230" s="6" t="s">
        <v>643</v>
      </c>
      <c r="K230" s="6"/>
      <c r="L230" s="6"/>
      <c r="M230" s="6" t="s">
        <v>122</v>
      </c>
      <c r="N230" s="13" t="str">
        <f aca="false">IFERROR(INDEX(Rates!$B$5:$B$84,MATCH(M230,Rates!$A$5:$A$84,0)),"")</f>
        <v>Bhatta (brick) roof tiles 9" x 4½" x 1½"</v>
      </c>
      <c r="O230" s="12" t="n">
        <v>4979.1915</v>
      </c>
      <c r="P230" s="14" t="str">
        <f aca="false">IFERROR(INDEX(Rates!$C$5:$C$84,MATCH(M230,Rates!$A$5:$A$84,0)),"")</f>
        <v>nos</v>
      </c>
      <c r="Q230" s="15" t="n">
        <f aca="false">IFERROR(INDEX(Rates!$D$5:$D$84,MATCH(M230,Rates!$A$5:$A$84,0)),0)</f>
        <v>0.05</v>
      </c>
      <c r="R230" s="12" t="n">
        <f aca="false">O230*(1+Q230)</f>
        <v>5228.151075</v>
      </c>
      <c r="S230" s="16" t="n">
        <f aca="false">IFERROR(INDEX(Rates!$E$5:$E$84,MATCH(M230,Rates!$A$5:$A$84,0)),0)</f>
        <v>20</v>
      </c>
      <c r="T230" s="7" t="n">
        <f aca="false">R230*S230</f>
        <v>104563.0215</v>
      </c>
      <c r="U230" s="17" t="str">
        <f aca="false">IF(M230="BRK",R230/2000,IF(OR(M230="SNDC",M230="SNDM",M230="CRS",M230="KHG",M230="EARTH"),R230/100,""))</f>
        <v/>
      </c>
    </row>
    <row r="231" customFormat="false" ht="22.35" hidden="false" customHeight="false" outlineLevel="0" collapsed="false">
      <c r="A231" s="6" t="s">
        <v>636</v>
      </c>
      <c r="B231" s="6" t="s">
        <v>637</v>
      </c>
      <c r="C231" s="6" t="s">
        <v>662</v>
      </c>
      <c r="D231" s="9"/>
      <c r="E231" s="9"/>
      <c r="F231" s="9"/>
      <c r="G231" s="9"/>
      <c r="H231" s="12"/>
      <c r="I231" s="6"/>
      <c r="J231" s="6" t="s">
        <v>643</v>
      </c>
      <c r="K231" s="6"/>
      <c r="L231" s="6"/>
      <c r="M231" s="6" t="s">
        <v>37</v>
      </c>
      <c r="N231" s="13" t="str">
        <f aca="false">IFERROR(INDEX(Rates!$B$5:$B$84,MATCH(M231,Rates!$A$5:$A$84,0)),"")</f>
        <v>Cement OPC, 50 kg bag (Lucky / Bestway / Maple Leaf)</v>
      </c>
      <c r="O231" s="12" t="n">
        <v>25.8075</v>
      </c>
      <c r="P231" s="14" t="str">
        <f aca="false">IFERROR(INDEX(Rates!$C$5:$C$84,MATCH(M231,Rates!$A$5:$A$84,0)),"")</f>
        <v>bag</v>
      </c>
      <c r="Q231" s="15" t="n">
        <f aca="false">IFERROR(INDEX(Rates!$D$5:$D$84,MATCH(M231,Rates!$A$5:$A$84,0)),0)</f>
        <v>0.03</v>
      </c>
      <c r="R231" s="12" t="n">
        <f aca="false">O231*(1+Q231)</f>
        <v>26.581725</v>
      </c>
      <c r="S231" s="16" t="n">
        <f aca="false">IFERROR(INDEX(Rates!$E$5:$E$84,MATCH(M231,Rates!$A$5:$A$84,0)),0)</f>
        <v>1560</v>
      </c>
      <c r="T231" s="7" t="n">
        <f aca="false">R231*S231</f>
        <v>41467.491</v>
      </c>
      <c r="U231" s="17" t="str">
        <f aca="false">IF(M231="BRK",R231/2000,IF(OR(M231="SNDC",M231="SNDM",M231="CRS",M231="KHG",M231="EARTH"),R231/100,""))</f>
        <v/>
      </c>
    </row>
    <row r="232" customFormat="false" ht="15" hidden="false" customHeight="false" outlineLevel="0" collapsed="false">
      <c r="A232" s="6" t="s">
        <v>636</v>
      </c>
      <c r="B232" s="6" t="s">
        <v>637</v>
      </c>
      <c r="C232" s="6" t="s">
        <v>662</v>
      </c>
      <c r="D232" s="9"/>
      <c r="E232" s="9"/>
      <c r="F232" s="9"/>
      <c r="G232" s="9"/>
      <c r="H232" s="12"/>
      <c r="I232" s="6"/>
      <c r="J232" s="6" t="s">
        <v>643</v>
      </c>
      <c r="K232" s="6"/>
      <c r="L232" s="6"/>
      <c r="M232" s="6" t="s">
        <v>76</v>
      </c>
      <c r="N232" s="13" t="str">
        <f aca="false">IFERROR(INDEX(Rates!$B$5:$B$84,MATCH(M232,Rates!$A$5:$A$84,0)),"")</f>
        <v>Ravi sand (mortar, plaster, blinding, fill)</v>
      </c>
      <c r="O232" s="12" t="n">
        <v>129.0377</v>
      </c>
      <c r="P232" s="14" t="str">
        <f aca="false">IFERROR(INDEX(Rates!$C$5:$C$84,MATCH(M232,Rates!$A$5:$A$84,0)),"")</f>
        <v>cft</v>
      </c>
      <c r="Q232" s="15" t="n">
        <f aca="false">IFERROR(INDEX(Rates!$D$5:$D$84,MATCH(M232,Rates!$A$5:$A$84,0)),0)</f>
        <v>0.08</v>
      </c>
      <c r="R232" s="12" t="n">
        <f aca="false">O232*(1+Q232)</f>
        <v>139.360716</v>
      </c>
      <c r="S232" s="16" t="n">
        <f aca="false">IFERROR(INDEX(Rates!$E$5:$E$84,MATCH(M232,Rates!$A$5:$A$84,0)),0)</f>
        <v>40</v>
      </c>
      <c r="T232" s="7" t="n">
        <f aca="false">R232*S232</f>
        <v>5574.42864</v>
      </c>
      <c r="U232" s="17" t="n">
        <f aca="false">IF(M232="BRK",R232/2000,IF(OR(M232="SNDC",M232="SNDM",M232="CRS",M232="KHG",M232="EARTH"),R232/100,""))</f>
        <v>1.39360716</v>
      </c>
    </row>
    <row r="233" customFormat="false" ht="32.8" hidden="false" customHeight="false" outlineLevel="0" collapsed="false">
      <c r="A233" s="6" t="s">
        <v>666</v>
      </c>
      <c r="B233" s="6" t="s">
        <v>667</v>
      </c>
      <c r="C233" s="6" t="s">
        <v>668</v>
      </c>
      <c r="D233" s="9" t="s">
        <v>669</v>
      </c>
      <c r="E233" s="9" t="s">
        <v>670</v>
      </c>
      <c r="F233" s="9" t="s">
        <v>671</v>
      </c>
      <c r="G233" s="9" t="s">
        <v>672</v>
      </c>
      <c r="H233" s="12" t="n">
        <v>3131.459</v>
      </c>
      <c r="I233" s="6" t="s">
        <v>673</v>
      </c>
      <c r="J233" s="6" t="s">
        <v>674</v>
      </c>
      <c r="K233" s="6"/>
      <c r="L233" s="6"/>
      <c r="M233" s="6" t="s">
        <v>126</v>
      </c>
      <c r="N233" s="13" t="str">
        <f aca="false">IFERROR(INDEX(Rates!$B$5:$B$84,MATCH(M233,Rates!$A$5:$A$84,0)),"")</f>
        <v>Galvanised chicken mesh, roll 3 ft x 100 ft</v>
      </c>
      <c r="O233" s="12" t="n">
        <v>11.482</v>
      </c>
      <c r="P233" s="14" t="str">
        <f aca="false">IFERROR(INDEX(Rates!$C$5:$C$84,MATCH(M233,Rates!$A$5:$A$84,0)),"")</f>
        <v>roll</v>
      </c>
      <c r="Q233" s="15" t="n">
        <f aca="false">IFERROR(INDEX(Rates!$D$5:$D$84,MATCH(M233,Rates!$A$5:$A$84,0)),0)</f>
        <v>0.05</v>
      </c>
      <c r="R233" s="12" t="n">
        <f aca="false">O233*(1+Q233)</f>
        <v>12.0561</v>
      </c>
      <c r="S233" s="16" t="n">
        <f aca="false">IFERROR(INDEX(Rates!$E$5:$E$84,MATCH(M233,Rates!$A$5:$A$84,0)),0)</f>
        <v>5500</v>
      </c>
      <c r="T233" s="7" t="n">
        <f aca="false">R233*S233</f>
        <v>66308.55</v>
      </c>
      <c r="U233" s="17" t="str">
        <f aca="false">IF(M233="BRK",R233/2000,IF(OR(M233="SNDC",M233="SNDM",M233="CRS",M233="KHG",M233="EARTH"),R233/100,""))</f>
        <v/>
      </c>
    </row>
    <row r="234" customFormat="false" ht="15" hidden="false" customHeight="false" outlineLevel="0" collapsed="false">
      <c r="A234" s="6" t="s">
        <v>666</v>
      </c>
      <c r="B234" s="6" t="s">
        <v>667</v>
      </c>
      <c r="C234" s="6" t="s">
        <v>668</v>
      </c>
      <c r="D234" s="9"/>
      <c r="E234" s="9"/>
      <c r="F234" s="9"/>
      <c r="G234" s="9"/>
      <c r="H234" s="12"/>
      <c r="I234" s="6"/>
      <c r="J234" s="6" t="s">
        <v>674</v>
      </c>
      <c r="K234" s="6"/>
      <c r="L234" s="6"/>
      <c r="M234" s="6" t="s">
        <v>130</v>
      </c>
      <c r="N234" s="13" t="str">
        <f aca="false">IFERROR(INDEX(Rates!$B$5:$B$84,MATCH(M234,Rates!$A$5:$A$84,0)),"")</f>
        <v>Concrete nails with washers for mesh</v>
      </c>
      <c r="O234" s="12" t="n">
        <v>10.4382</v>
      </c>
      <c r="P234" s="14" t="str">
        <f aca="false">IFERROR(INDEX(Rates!$C$5:$C$84,MATCH(M234,Rates!$A$5:$A$84,0)),"")</f>
        <v>kg</v>
      </c>
      <c r="Q234" s="15" t="n">
        <f aca="false">IFERROR(INDEX(Rates!$D$5:$D$84,MATCH(M234,Rates!$A$5:$A$84,0)),0)</f>
        <v>0</v>
      </c>
      <c r="R234" s="12" t="n">
        <f aca="false">O234*(1+Q234)</f>
        <v>10.4382</v>
      </c>
      <c r="S234" s="16" t="n">
        <f aca="false">IFERROR(INDEX(Rates!$E$5:$E$84,MATCH(M234,Rates!$A$5:$A$84,0)),0)</f>
        <v>450</v>
      </c>
      <c r="T234" s="7" t="n">
        <f aca="false">R234*S234</f>
        <v>4697.19</v>
      </c>
      <c r="U234" s="17" t="str">
        <f aca="false">IF(M234="BRK",R234/2000,IF(OR(M234="SNDC",M234="SNDM",M234="CRS",M234="KHG",M234="EARTH"),R234/100,""))</f>
        <v/>
      </c>
    </row>
    <row r="235" customFormat="false" ht="22.35" hidden="false" customHeight="false" outlineLevel="0" collapsed="false">
      <c r="A235" s="6" t="s">
        <v>666</v>
      </c>
      <c r="B235" s="6" t="s">
        <v>667</v>
      </c>
      <c r="C235" s="6" t="s">
        <v>675</v>
      </c>
      <c r="D235" s="9" t="s">
        <v>676</v>
      </c>
      <c r="E235" s="9" t="s">
        <v>677</v>
      </c>
      <c r="F235" s="9" t="s">
        <v>678</v>
      </c>
      <c r="G235" s="9" t="s">
        <v>679</v>
      </c>
      <c r="H235" s="12" t="n">
        <v>1804.8</v>
      </c>
      <c r="I235" s="6" t="s">
        <v>673</v>
      </c>
      <c r="J235" s="6" t="s">
        <v>674</v>
      </c>
      <c r="K235" s="6"/>
      <c r="L235" s="6"/>
      <c r="M235" s="6" t="s">
        <v>126</v>
      </c>
      <c r="N235" s="13" t="str">
        <f aca="false">IFERROR(INDEX(Rates!$B$5:$B$84,MATCH(M235,Rates!$A$5:$A$84,0)),"")</f>
        <v>Galvanised chicken mesh, roll 3 ft x 100 ft</v>
      </c>
      <c r="O235" s="12" t="n">
        <v>4.9632</v>
      </c>
      <c r="P235" s="14" t="str">
        <f aca="false">IFERROR(INDEX(Rates!$C$5:$C$84,MATCH(M235,Rates!$A$5:$A$84,0)),"")</f>
        <v>roll</v>
      </c>
      <c r="Q235" s="15" t="n">
        <f aca="false">IFERROR(INDEX(Rates!$D$5:$D$84,MATCH(M235,Rates!$A$5:$A$84,0)),0)</f>
        <v>0.05</v>
      </c>
      <c r="R235" s="12" t="n">
        <f aca="false">O235*(1+Q235)</f>
        <v>5.21136</v>
      </c>
      <c r="S235" s="16" t="n">
        <f aca="false">IFERROR(INDEX(Rates!$E$5:$E$84,MATCH(M235,Rates!$A$5:$A$84,0)),0)</f>
        <v>5500</v>
      </c>
      <c r="T235" s="7" t="n">
        <f aca="false">R235*S235</f>
        <v>28662.48</v>
      </c>
      <c r="U235" s="17" t="str">
        <f aca="false">IF(M235="BRK",R235/2000,IF(OR(M235="SNDC",M235="SNDM",M235="CRS",M235="KHG",M235="EARTH"),R235/100,""))</f>
        <v/>
      </c>
    </row>
    <row r="236" customFormat="false" ht="15" hidden="false" customHeight="false" outlineLevel="0" collapsed="false">
      <c r="A236" s="6" t="s">
        <v>666</v>
      </c>
      <c r="B236" s="6" t="s">
        <v>667</v>
      </c>
      <c r="C236" s="6" t="s">
        <v>675</v>
      </c>
      <c r="D236" s="9"/>
      <c r="E236" s="9"/>
      <c r="F236" s="9"/>
      <c r="G236" s="9"/>
      <c r="H236" s="12"/>
      <c r="I236" s="6"/>
      <c r="J236" s="6" t="s">
        <v>674</v>
      </c>
      <c r="K236" s="6"/>
      <c r="L236" s="6"/>
      <c r="M236" s="6" t="s">
        <v>130</v>
      </c>
      <c r="N236" s="13" t="str">
        <f aca="false">IFERROR(INDEX(Rates!$B$5:$B$84,MATCH(M236,Rates!$A$5:$A$84,0)),"")</f>
        <v>Concrete nails with washers for mesh</v>
      </c>
      <c r="O236" s="12" t="n">
        <v>4.512</v>
      </c>
      <c r="P236" s="14" t="str">
        <f aca="false">IFERROR(INDEX(Rates!$C$5:$C$84,MATCH(M236,Rates!$A$5:$A$84,0)),"")</f>
        <v>kg</v>
      </c>
      <c r="Q236" s="15" t="n">
        <f aca="false">IFERROR(INDEX(Rates!$D$5:$D$84,MATCH(M236,Rates!$A$5:$A$84,0)),0)</f>
        <v>0</v>
      </c>
      <c r="R236" s="12" t="n">
        <f aca="false">O236*(1+Q236)</f>
        <v>4.512</v>
      </c>
      <c r="S236" s="16" t="n">
        <f aca="false">IFERROR(INDEX(Rates!$E$5:$E$84,MATCH(M236,Rates!$A$5:$A$84,0)),0)</f>
        <v>450</v>
      </c>
      <c r="T236" s="7" t="n">
        <f aca="false">R236*S236</f>
        <v>2030.4</v>
      </c>
      <c r="U236" s="17" t="str">
        <f aca="false">IF(M236="BRK",R236/2000,IF(OR(M236="SNDC",M236="SNDM",M236="CRS",M236="KHG",M236="EARTH"),R236/100,""))</f>
        <v/>
      </c>
    </row>
    <row r="237" customFormat="false" ht="32.8" hidden="false" customHeight="false" outlineLevel="0" collapsed="false">
      <c r="A237" s="6" t="s">
        <v>666</v>
      </c>
      <c r="B237" s="6" t="s">
        <v>667</v>
      </c>
      <c r="C237" s="6" t="s">
        <v>680</v>
      </c>
      <c r="D237" s="9" t="s">
        <v>448</v>
      </c>
      <c r="E237" s="9" t="s">
        <v>681</v>
      </c>
      <c r="F237" s="9" t="s">
        <v>682</v>
      </c>
      <c r="G237" s="9" t="s">
        <v>683</v>
      </c>
      <c r="H237" s="12" t="n">
        <v>5233.668</v>
      </c>
      <c r="I237" s="6" t="s">
        <v>394</v>
      </c>
      <c r="J237" s="6" t="s">
        <v>684</v>
      </c>
      <c r="K237" s="6"/>
      <c r="L237" s="6"/>
      <c r="M237" s="6" t="s">
        <v>37</v>
      </c>
      <c r="N237" s="13" t="str">
        <f aca="false">IFERROR(INDEX(Rates!$B$5:$B$84,MATCH(M237,Rates!$A$5:$A$84,0)),"")</f>
        <v>Cement OPC, 50 kg bag (Lucky / Bestway / Maple Leaf)</v>
      </c>
      <c r="O237" s="12" t="n">
        <v>58.0065</v>
      </c>
      <c r="P237" s="14" t="str">
        <f aca="false">IFERROR(INDEX(Rates!$C$5:$C$84,MATCH(M237,Rates!$A$5:$A$84,0)),"")</f>
        <v>bag</v>
      </c>
      <c r="Q237" s="15" t="n">
        <f aca="false">IFERROR(INDEX(Rates!$D$5:$D$84,MATCH(M237,Rates!$A$5:$A$84,0)),0)</f>
        <v>0.03</v>
      </c>
      <c r="R237" s="12" t="n">
        <f aca="false">O237*(1+Q237)</f>
        <v>59.746695</v>
      </c>
      <c r="S237" s="16" t="n">
        <f aca="false">IFERROR(INDEX(Rates!$E$5:$E$84,MATCH(M237,Rates!$A$5:$A$84,0)),0)</f>
        <v>1560</v>
      </c>
      <c r="T237" s="7" t="n">
        <f aca="false">R237*S237</f>
        <v>93204.8442</v>
      </c>
      <c r="U237" s="17" t="str">
        <f aca="false">IF(M237="BRK",R237/2000,IF(OR(M237="SNDC",M237="SNDM",M237="CRS",M237="KHG",M237="EARTH"),R237/100,""))</f>
        <v/>
      </c>
    </row>
    <row r="238" customFormat="false" ht="15" hidden="false" customHeight="false" outlineLevel="0" collapsed="false">
      <c r="A238" s="6" t="s">
        <v>666</v>
      </c>
      <c r="B238" s="6" t="s">
        <v>667</v>
      </c>
      <c r="C238" s="6" t="s">
        <v>680</v>
      </c>
      <c r="D238" s="9"/>
      <c r="E238" s="9"/>
      <c r="F238" s="9"/>
      <c r="G238" s="9"/>
      <c r="H238" s="12"/>
      <c r="I238" s="6"/>
      <c r="J238" s="6" t="s">
        <v>684</v>
      </c>
      <c r="K238" s="6"/>
      <c r="L238" s="6"/>
      <c r="M238" s="6" t="s">
        <v>76</v>
      </c>
      <c r="N238" s="13" t="str">
        <f aca="false">IFERROR(INDEX(Rates!$B$5:$B$84,MATCH(M238,Rates!$A$5:$A$84,0)),"")</f>
        <v>Ravi sand (mortar, plaster, blinding, fill)</v>
      </c>
      <c r="O238" s="12" t="n">
        <v>290.0324</v>
      </c>
      <c r="P238" s="14" t="str">
        <f aca="false">IFERROR(INDEX(Rates!$C$5:$C$84,MATCH(M238,Rates!$A$5:$A$84,0)),"")</f>
        <v>cft</v>
      </c>
      <c r="Q238" s="15" t="n">
        <f aca="false">IFERROR(INDEX(Rates!$D$5:$D$84,MATCH(M238,Rates!$A$5:$A$84,0)),0)</f>
        <v>0.08</v>
      </c>
      <c r="R238" s="12" t="n">
        <f aca="false">O238*(1+Q238)</f>
        <v>313.234992</v>
      </c>
      <c r="S238" s="16" t="n">
        <f aca="false">IFERROR(INDEX(Rates!$E$5:$E$84,MATCH(M238,Rates!$A$5:$A$84,0)),0)</f>
        <v>40</v>
      </c>
      <c r="T238" s="7" t="n">
        <f aca="false">R238*S238</f>
        <v>12529.39968</v>
      </c>
      <c r="U238" s="17" t="n">
        <f aca="false">IF(M238="BRK",R238/2000,IF(OR(M238="SNDC",M238="SNDM",M238="CRS",M238="KHG",M238="EARTH"),R238/100,""))</f>
        <v>3.13234992</v>
      </c>
    </row>
    <row r="239" customFormat="false" ht="43.25" hidden="false" customHeight="false" outlineLevel="0" collapsed="false">
      <c r="A239" s="6" t="s">
        <v>666</v>
      </c>
      <c r="B239" s="6" t="s">
        <v>667</v>
      </c>
      <c r="C239" s="6" t="s">
        <v>685</v>
      </c>
      <c r="D239" s="9" t="s">
        <v>458</v>
      </c>
      <c r="E239" s="9" t="s">
        <v>681</v>
      </c>
      <c r="F239" s="9" t="s">
        <v>686</v>
      </c>
      <c r="G239" s="9" t="s">
        <v>687</v>
      </c>
      <c r="H239" s="12" t="n">
        <v>6393.131</v>
      </c>
      <c r="I239" s="6" t="s">
        <v>394</v>
      </c>
      <c r="J239" s="6" t="s">
        <v>684</v>
      </c>
      <c r="K239" s="6"/>
      <c r="L239" s="6"/>
      <c r="M239" s="6" t="s">
        <v>37</v>
      </c>
      <c r="N239" s="13" t="str">
        <f aca="false">IFERROR(INDEX(Rates!$B$5:$B$84,MATCH(M239,Rates!$A$5:$A$84,0)),"")</f>
        <v>Cement OPC, 50 kg bag (Lucky / Bestway / Maple Leaf)</v>
      </c>
      <c r="O239" s="12" t="n">
        <v>70.8572</v>
      </c>
      <c r="P239" s="14" t="str">
        <f aca="false">IFERROR(INDEX(Rates!$C$5:$C$84,MATCH(M239,Rates!$A$5:$A$84,0)),"")</f>
        <v>bag</v>
      </c>
      <c r="Q239" s="15" t="n">
        <f aca="false">IFERROR(INDEX(Rates!$D$5:$D$84,MATCH(M239,Rates!$A$5:$A$84,0)),0)</f>
        <v>0.03</v>
      </c>
      <c r="R239" s="12" t="n">
        <f aca="false">O239*(1+Q239)</f>
        <v>72.982916</v>
      </c>
      <c r="S239" s="16" t="n">
        <f aca="false">IFERROR(INDEX(Rates!$E$5:$E$84,MATCH(M239,Rates!$A$5:$A$84,0)),0)</f>
        <v>1560</v>
      </c>
      <c r="T239" s="7" t="n">
        <f aca="false">R239*S239</f>
        <v>113853.34896</v>
      </c>
      <c r="U239" s="17" t="str">
        <f aca="false">IF(M239="BRK",R239/2000,IF(OR(M239="SNDC",M239="SNDM",M239="CRS",M239="KHG",M239="EARTH"),R239/100,""))</f>
        <v/>
      </c>
    </row>
    <row r="240" customFormat="false" ht="15" hidden="false" customHeight="false" outlineLevel="0" collapsed="false">
      <c r="A240" s="6" t="s">
        <v>666</v>
      </c>
      <c r="B240" s="6" t="s">
        <v>667</v>
      </c>
      <c r="C240" s="6" t="s">
        <v>685</v>
      </c>
      <c r="D240" s="9"/>
      <c r="E240" s="9"/>
      <c r="F240" s="9"/>
      <c r="G240" s="9"/>
      <c r="H240" s="12"/>
      <c r="I240" s="6"/>
      <c r="J240" s="6" t="s">
        <v>684</v>
      </c>
      <c r="K240" s="6"/>
      <c r="L240" s="6"/>
      <c r="M240" s="6" t="s">
        <v>76</v>
      </c>
      <c r="N240" s="13" t="str">
        <f aca="false">IFERROR(INDEX(Rates!$B$5:$B$84,MATCH(M240,Rates!$A$5:$A$84,0)),"")</f>
        <v>Ravi sand (mortar, plaster, blinding, fill)</v>
      </c>
      <c r="O240" s="12" t="n">
        <v>354.286</v>
      </c>
      <c r="P240" s="14" t="str">
        <f aca="false">IFERROR(INDEX(Rates!$C$5:$C$84,MATCH(M240,Rates!$A$5:$A$84,0)),"")</f>
        <v>cft</v>
      </c>
      <c r="Q240" s="15" t="n">
        <f aca="false">IFERROR(INDEX(Rates!$D$5:$D$84,MATCH(M240,Rates!$A$5:$A$84,0)),0)</f>
        <v>0.08</v>
      </c>
      <c r="R240" s="12" t="n">
        <f aca="false">O240*(1+Q240)</f>
        <v>382.62888</v>
      </c>
      <c r="S240" s="16" t="n">
        <f aca="false">IFERROR(INDEX(Rates!$E$5:$E$84,MATCH(M240,Rates!$A$5:$A$84,0)),0)</f>
        <v>40</v>
      </c>
      <c r="T240" s="7" t="n">
        <f aca="false">R240*S240</f>
        <v>15305.1552</v>
      </c>
      <c r="U240" s="17" t="n">
        <f aca="false">IF(M240="BRK",R240/2000,IF(OR(M240="SNDC",M240="SNDM",M240="CRS",M240="KHG",M240="EARTH"),R240/100,""))</f>
        <v>3.8262888</v>
      </c>
    </row>
    <row r="241" customFormat="false" ht="32.8" hidden="false" customHeight="false" outlineLevel="0" collapsed="false">
      <c r="A241" s="6" t="s">
        <v>666</v>
      </c>
      <c r="B241" s="6" t="s">
        <v>667</v>
      </c>
      <c r="C241" s="6" t="s">
        <v>688</v>
      </c>
      <c r="D241" s="9" t="s">
        <v>689</v>
      </c>
      <c r="E241" s="9" t="s">
        <v>681</v>
      </c>
      <c r="F241" s="9" t="s">
        <v>690</v>
      </c>
      <c r="G241" s="9" t="s">
        <v>691</v>
      </c>
      <c r="H241" s="12" t="n">
        <v>1252.075</v>
      </c>
      <c r="I241" s="6" t="s">
        <v>394</v>
      </c>
      <c r="J241" s="6" t="s">
        <v>684</v>
      </c>
      <c r="K241" s="6"/>
      <c r="L241" s="6"/>
      <c r="M241" s="6" t="s">
        <v>37</v>
      </c>
      <c r="N241" s="13" t="str">
        <f aca="false">IFERROR(INDEX(Rates!$B$5:$B$84,MATCH(M241,Rates!$A$5:$A$84,0)),"")</f>
        <v>Cement OPC, 50 kg bag (Lucky / Bestway / Maple Leaf)</v>
      </c>
      <c r="O241" s="12" t="n">
        <v>13.8772</v>
      </c>
      <c r="P241" s="14" t="str">
        <f aca="false">IFERROR(INDEX(Rates!$C$5:$C$84,MATCH(M241,Rates!$A$5:$A$84,0)),"")</f>
        <v>bag</v>
      </c>
      <c r="Q241" s="15" t="n">
        <f aca="false">IFERROR(INDEX(Rates!$D$5:$D$84,MATCH(M241,Rates!$A$5:$A$84,0)),0)</f>
        <v>0.03</v>
      </c>
      <c r="R241" s="12" t="n">
        <f aca="false">O241*(1+Q241)</f>
        <v>14.293516</v>
      </c>
      <c r="S241" s="16" t="n">
        <f aca="false">IFERROR(INDEX(Rates!$E$5:$E$84,MATCH(M241,Rates!$A$5:$A$84,0)),0)</f>
        <v>1560</v>
      </c>
      <c r="T241" s="7" t="n">
        <f aca="false">R241*S241</f>
        <v>22297.88496</v>
      </c>
      <c r="U241" s="17" t="str">
        <f aca="false">IF(M241="BRK",R241/2000,IF(OR(M241="SNDC",M241="SNDM",M241="CRS",M241="KHG",M241="EARTH"),R241/100,""))</f>
        <v/>
      </c>
    </row>
    <row r="242" customFormat="false" ht="15" hidden="false" customHeight="false" outlineLevel="0" collapsed="false">
      <c r="A242" s="6" t="s">
        <v>666</v>
      </c>
      <c r="B242" s="6" t="s">
        <v>667</v>
      </c>
      <c r="C242" s="6" t="s">
        <v>688</v>
      </c>
      <c r="D242" s="9"/>
      <c r="E242" s="9"/>
      <c r="F242" s="9"/>
      <c r="G242" s="9"/>
      <c r="H242" s="12"/>
      <c r="I242" s="6"/>
      <c r="J242" s="6" t="s">
        <v>684</v>
      </c>
      <c r="K242" s="6"/>
      <c r="L242" s="6"/>
      <c r="M242" s="6" t="s">
        <v>76</v>
      </c>
      <c r="N242" s="13" t="str">
        <f aca="false">IFERROR(INDEX(Rates!$B$5:$B$84,MATCH(M242,Rates!$A$5:$A$84,0)),"")</f>
        <v>Ravi sand (mortar, plaster, blinding, fill)</v>
      </c>
      <c r="O242" s="12" t="n">
        <v>69.3858</v>
      </c>
      <c r="P242" s="14" t="str">
        <f aca="false">IFERROR(INDEX(Rates!$C$5:$C$84,MATCH(M242,Rates!$A$5:$A$84,0)),"")</f>
        <v>cft</v>
      </c>
      <c r="Q242" s="15" t="n">
        <f aca="false">IFERROR(INDEX(Rates!$D$5:$D$84,MATCH(M242,Rates!$A$5:$A$84,0)),0)</f>
        <v>0.08</v>
      </c>
      <c r="R242" s="12" t="n">
        <f aca="false">O242*(1+Q242)</f>
        <v>74.936664</v>
      </c>
      <c r="S242" s="16" t="n">
        <f aca="false">IFERROR(INDEX(Rates!$E$5:$E$84,MATCH(M242,Rates!$A$5:$A$84,0)),0)</f>
        <v>40</v>
      </c>
      <c r="T242" s="7" t="n">
        <f aca="false">R242*S242</f>
        <v>2997.46656</v>
      </c>
      <c r="U242" s="17" t="n">
        <f aca="false">IF(M242="BRK",R242/2000,IF(OR(M242="SNDC",M242="SNDM",M242="CRS",M242="KHG",M242="EARTH"),R242/100,""))</f>
        <v>0.74936664</v>
      </c>
    </row>
    <row r="243" customFormat="false" ht="43.25" hidden="false" customHeight="false" outlineLevel="0" collapsed="false">
      <c r="A243" s="6" t="s">
        <v>666</v>
      </c>
      <c r="B243" s="6" t="s">
        <v>667</v>
      </c>
      <c r="C243" s="6" t="s">
        <v>692</v>
      </c>
      <c r="D243" s="9" t="s">
        <v>448</v>
      </c>
      <c r="E243" s="9" t="s">
        <v>693</v>
      </c>
      <c r="F243" s="9" t="s">
        <v>694</v>
      </c>
      <c r="G243" s="9" t="s">
        <v>695</v>
      </c>
      <c r="H243" s="12" t="n">
        <v>1428.456</v>
      </c>
      <c r="I243" s="6" t="s">
        <v>394</v>
      </c>
      <c r="J243" s="6" t="s">
        <v>684</v>
      </c>
      <c r="K243" s="6"/>
      <c r="L243" s="6"/>
      <c r="M243" s="6" t="s">
        <v>37</v>
      </c>
      <c r="N243" s="13" t="str">
        <f aca="false">IFERROR(INDEX(Rates!$B$5:$B$84,MATCH(M243,Rates!$A$5:$A$84,0)),"")</f>
        <v>Cement OPC, 50 kg bag (Lucky / Bestway / Maple Leaf)</v>
      </c>
      <c r="O243" s="12" t="n">
        <v>23.7481</v>
      </c>
      <c r="P243" s="14" t="str">
        <f aca="false">IFERROR(INDEX(Rates!$C$5:$C$84,MATCH(M243,Rates!$A$5:$A$84,0)),"")</f>
        <v>bag</v>
      </c>
      <c r="Q243" s="15" t="n">
        <f aca="false">IFERROR(INDEX(Rates!$D$5:$D$84,MATCH(M243,Rates!$A$5:$A$84,0)),0)</f>
        <v>0.03</v>
      </c>
      <c r="R243" s="12" t="n">
        <f aca="false">O243*(1+Q243)</f>
        <v>24.460543</v>
      </c>
      <c r="S243" s="16" t="n">
        <f aca="false">IFERROR(INDEX(Rates!$E$5:$E$84,MATCH(M243,Rates!$A$5:$A$84,0)),0)</f>
        <v>1560</v>
      </c>
      <c r="T243" s="7" t="n">
        <f aca="false">R243*S243</f>
        <v>38158.44708</v>
      </c>
      <c r="U243" s="17" t="str">
        <f aca="false">IF(M243="BRK",R243/2000,IF(OR(M243="SNDC",M243="SNDM",M243="CRS",M243="KHG",M243="EARTH"),R243/100,""))</f>
        <v/>
      </c>
    </row>
    <row r="244" customFormat="false" ht="15" hidden="false" customHeight="false" outlineLevel="0" collapsed="false">
      <c r="A244" s="6" t="s">
        <v>666</v>
      </c>
      <c r="B244" s="6" t="s">
        <v>667</v>
      </c>
      <c r="C244" s="6" t="s">
        <v>692</v>
      </c>
      <c r="D244" s="9"/>
      <c r="E244" s="9"/>
      <c r="F244" s="9"/>
      <c r="G244" s="9"/>
      <c r="H244" s="12"/>
      <c r="I244" s="6"/>
      <c r="J244" s="6" t="s">
        <v>684</v>
      </c>
      <c r="K244" s="6"/>
      <c r="L244" s="6"/>
      <c r="M244" s="6" t="s">
        <v>76</v>
      </c>
      <c r="N244" s="13" t="str">
        <f aca="false">IFERROR(INDEX(Rates!$B$5:$B$84,MATCH(M244,Rates!$A$5:$A$84,0)),"")</f>
        <v>Ravi sand (mortar, plaster, blinding, fill)</v>
      </c>
      <c r="O244" s="12" t="n">
        <v>118.7404</v>
      </c>
      <c r="P244" s="14" t="str">
        <f aca="false">IFERROR(INDEX(Rates!$C$5:$C$84,MATCH(M244,Rates!$A$5:$A$84,0)),"")</f>
        <v>cft</v>
      </c>
      <c r="Q244" s="15" t="n">
        <f aca="false">IFERROR(INDEX(Rates!$D$5:$D$84,MATCH(M244,Rates!$A$5:$A$84,0)),0)</f>
        <v>0.08</v>
      </c>
      <c r="R244" s="12" t="n">
        <f aca="false">O244*(1+Q244)</f>
        <v>128.239632</v>
      </c>
      <c r="S244" s="16" t="n">
        <f aca="false">IFERROR(INDEX(Rates!$E$5:$E$84,MATCH(M244,Rates!$A$5:$A$84,0)),0)</f>
        <v>40</v>
      </c>
      <c r="T244" s="7" t="n">
        <f aca="false">R244*S244</f>
        <v>5129.58528</v>
      </c>
      <c r="U244" s="17" t="n">
        <f aca="false">IF(M244="BRK",R244/2000,IF(OR(M244="SNDC",M244="SNDM",M244="CRS",M244="KHG",M244="EARTH"),R244/100,""))</f>
        <v>1.28239632</v>
      </c>
    </row>
    <row r="245" customFormat="false" ht="22.35" hidden="false" customHeight="false" outlineLevel="0" collapsed="false">
      <c r="A245" s="6" t="s">
        <v>666</v>
      </c>
      <c r="B245" s="6" t="s">
        <v>667</v>
      </c>
      <c r="C245" s="6" t="s">
        <v>696</v>
      </c>
      <c r="D245" s="9" t="s">
        <v>458</v>
      </c>
      <c r="E245" s="9" t="s">
        <v>697</v>
      </c>
      <c r="F245" s="9" t="s">
        <v>698</v>
      </c>
      <c r="G245" s="9" t="s">
        <v>699</v>
      </c>
      <c r="H245" s="12" t="n">
        <v>1304.002</v>
      </c>
      <c r="I245" s="6" t="s">
        <v>394</v>
      </c>
      <c r="J245" s="6" t="s">
        <v>684</v>
      </c>
      <c r="K245" s="6"/>
      <c r="L245" s="6"/>
      <c r="M245" s="6" t="s">
        <v>37</v>
      </c>
      <c r="N245" s="13" t="str">
        <f aca="false">IFERROR(INDEX(Rates!$B$5:$B$84,MATCH(M245,Rates!$A$5:$A$84,0)),"")</f>
        <v>Cement OPC, 50 kg bag (Lucky / Bestway / Maple Leaf)</v>
      </c>
      <c r="O245" s="12" t="n">
        <v>21.679</v>
      </c>
      <c r="P245" s="14" t="str">
        <f aca="false">IFERROR(INDEX(Rates!$C$5:$C$84,MATCH(M245,Rates!$A$5:$A$84,0)),"")</f>
        <v>bag</v>
      </c>
      <c r="Q245" s="15" t="n">
        <f aca="false">IFERROR(INDEX(Rates!$D$5:$D$84,MATCH(M245,Rates!$A$5:$A$84,0)),0)</f>
        <v>0.03</v>
      </c>
      <c r="R245" s="12" t="n">
        <f aca="false">O245*(1+Q245)</f>
        <v>22.32937</v>
      </c>
      <c r="S245" s="16" t="n">
        <f aca="false">IFERROR(INDEX(Rates!$E$5:$E$84,MATCH(M245,Rates!$A$5:$A$84,0)),0)</f>
        <v>1560</v>
      </c>
      <c r="T245" s="7" t="n">
        <f aca="false">R245*S245</f>
        <v>34833.8172</v>
      </c>
      <c r="U245" s="17" t="str">
        <f aca="false">IF(M245="BRK",R245/2000,IF(OR(M245="SNDC",M245="SNDM",M245="CRS",M245="KHG",M245="EARTH"),R245/100,""))</f>
        <v/>
      </c>
    </row>
    <row r="246" customFormat="false" ht="15" hidden="false" customHeight="false" outlineLevel="0" collapsed="false">
      <c r="A246" s="6" t="s">
        <v>666</v>
      </c>
      <c r="B246" s="6" t="s">
        <v>667</v>
      </c>
      <c r="C246" s="6" t="s">
        <v>696</v>
      </c>
      <c r="D246" s="9"/>
      <c r="E246" s="9"/>
      <c r="F246" s="9"/>
      <c r="G246" s="9"/>
      <c r="H246" s="12"/>
      <c r="I246" s="6"/>
      <c r="J246" s="6" t="s">
        <v>684</v>
      </c>
      <c r="K246" s="6"/>
      <c r="L246" s="6"/>
      <c r="M246" s="6" t="s">
        <v>76</v>
      </c>
      <c r="N246" s="13" t="str">
        <f aca="false">IFERROR(INDEX(Rates!$B$5:$B$84,MATCH(M246,Rates!$A$5:$A$84,0)),"")</f>
        <v>Ravi sand (mortar, plaster, blinding, fill)</v>
      </c>
      <c r="O246" s="12" t="n">
        <v>108.3952</v>
      </c>
      <c r="P246" s="14" t="str">
        <f aca="false">IFERROR(INDEX(Rates!$C$5:$C$84,MATCH(M246,Rates!$A$5:$A$84,0)),"")</f>
        <v>cft</v>
      </c>
      <c r="Q246" s="15" t="n">
        <f aca="false">IFERROR(INDEX(Rates!$D$5:$D$84,MATCH(M246,Rates!$A$5:$A$84,0)),0)</f>
        <v>0.08</v>
      </c>
      <c r="R246" s="12" t="n">
        <f aca="false">O246*(1+Q246)</f>
        <v>117.066816</v>
      </c>
      <c r="S246" s="16" t="n">
        <f aca="false">IFERROR(INDEX(Rates!$E$5:$E$84,MATCH(M246,Rates!$A$5:$A$84,0)),0)</f>
        <v>40</v>
      </c>
      <c r="T246" s="7" t="n">
        <f aca="false">R246*S246</f>
        <v>4682.67264</v>
      </c>
      <c r="U246" s="17" t="n">
        <f aca="false">IF(M246="BRK",R246/2000,IF(OR(M246="SNDC",M246="SNDM",M246="CRS",M246="KHG",M246="EARTH"),R246/100,""))</f>
        <v>1.17066816</v>
      </c>
    </row>
    <row r="247" customFormat="false" ht="22.35" hidden="false" customHeight="false" outlineLevel="0" collapsed="false">
      <c r="A247" s="6" t="s">
        <v>666</v>
      </c>
      <c r="B247" s="6" t="s">
        <v>667</v>
      </c>
      <c r="C247" s="6" t="s">
        <v>700</v>
      </c>
      <c r="D247" s="9" t="s">
        <v>689</v>
      </c>
      <c r="E247" s="9" t="s">
        <v>697</v>
      </c>
      <c r="F247" s="9" t="s">
        <v>701</v>
      </c>
      <c r="G247" s="9" t="s">
        <v>702</v>
      </c>
      <c r="H247" s="12" t="n">
        <v>679.754</v>
      </c>
      <c r="I247" s="6" t="s">
        <v>394</v>
      </c>
      <c r="J247" s="6" t="s">
        <v>684</v>
      </c>
      <c r="K247" s="6"/>
      <c r="L247" s="6"/>
      <c r="M247" s="6" t="s">
        <v>37</v>
      </c>
      <c r="N247" s="13" t="str">
        <f aca="false">IFERROR(INDEX(Rates!$B$5:$B$84,MATCH(M247,Rates!$A$5:$A$84,0)),"")</f>
        <v>Cement OPC, 50 kg bag (Lucky / Bestway / Maple Leaf)</v>
      </c>
      <c r="O247" s="12" t="n">
        <v>11.3009</v>
      </c>
      <c r="P247" s="14" t="str">
        <f aca="false">IFERROR(INDEX(Rates!$C$5:$C$84,MATCH(M247,Rates!$A$5:$A$84,0)),"")</f>
        <v>bag</v>
      </c>
      <c r="Q247" s="15" t="n">
        <f aca="false">IFERROR(INDEX(Rates!$D$5:$D$84,MATCH(M247,Rates!$A$5:$A$84,0)),0)</f>
        <v>0.03</v>
      </c>
      <c r="R247" s="12" t="n">
        <f aca="false">O247*(1+Q247)</f>
        <v>11.639927</v>
      </c>
      <c r="S247" s="16" t="n">
        <f aca="false">IFERROR(INDEX(Rates!$E$5:$E$84,MATCH(M247,Rates!$A$5:$A$84,0)),0)</f>
        <v>1560</v>
      </c>
      <c r="T247" s="7" t="n">
        <f aca="false">R247*S247</f>
        <v>18158.28612</v>
      </c>
      <c r="U247" s="17" t="str">
        <f aca="false">IF(M247="BRK",R247/2000,IF(OR(M247="SNDC",M247="SNDM",M247="CRS",M247="KHG",M247="EARTH"),R247/100,""))</f>
        <v/>
      </c>
    </row>
    <row r="248" customFormat="false" ht="15" hidden="false" customHeight="false" outlineLevel="0" collapsed="false">
      <c r="A248" s="6" t="s">
        <v>666</v>
      </c>
      <c r="B248" s="6" t="s">
        <v>667</v>
      </c>
      <c r="C248" s="6" t="s">
        <v>700</v>
      </c>
      <c r="D248" s="9"/>
      <c r="E248" s="9"/>
      <c r="F248" s="9"/>
      <c r="G248" s="9"/>
      <c r="H248" s="12"/>
      <c r="I248" s="6"/>
      <c r="J248" s="6" t="s">
        <v>684</v>
      </c>
      <c r="K248" s="6"/>
      <c r="L248" s="6"/>
      <c r="M248" s="6" t="s">
        <v>76</v>
      </c>
      <c r="N248" s="13" t="str">
        <f aca="false">IFERROR(INDEX(Rates!$B$5:$B$84,MATCH(M248,Rates!$A$5:$A$84,0)),"")</f>
        <v>Ravi sand (mortar, plaster, blinding, fill)</v>
      </c>
      <c r="O248" s="12" t="n">
        <v>56.5046</v>
      </c>
      <c r="P248" s="14" t="str">
        <f aca="false">IFERROR(INDEX(Rates!$C$5:$C$84,MATCH(M248,Rates!$A$5:$A$84,0)),"")</f>
        <v>cft</v>
      </c>
      <c r="Q248" s="15" t="n">
        <f aca="false">IFERROR(INDEX(Rates!$D$5:$D$84,MATCH(M248,Rates!$A$5:$A$84,0)),0)</f>
        <v>0.08</v>
      </c>
      <c r="R248" s="12" t="n">
        <f aca="false">O248*(1+Q248)</f>
        <v>61.024968</v>
      </c>
      <c r="S248" s="16" t="n">
        <f aca="false">IFERROR(INDEX(Rates!$E$5:$E$84,MATCH(M248,Rates!$A$5:$A$84,0)),0)</f>
        <v>40</v>
      </c>
      <c r="T248" s="7" t="n">
        <f aca="false">R248*S248</f>
        <v>2440.99872</v>
      </c>
      <c r="U248" s="17" t="n">
        <f aca="false">IF(M248="BRK",R248/2000,IF(OR(M248="SNDC",M248="SNDM",M248="CRS",M248="KHG",M248="EARTH"),R248/100,""))</f>
        <v>0.61024968</v>
      </c>
    </row>
    <row r="249" customFormat="false" ht="22.35" hidden="false" customHeight="false" outlineLevel="0" collapsed="false">
      <c r="A249" s="6" t="s">
        <v>666</v>
      </c>
      <c r="B249" s="6" t="s">
        <v>667</v>
      </c>
      <c r="C249" s="6" t="s">
        <v>703</v>
      </c>
      <c r="D249" s="9" t="s">
        <v>704</v>
      </c>
      <c r="E249" s="9" t="s">
        <v>705</v>
      </c>
      <c r="F249" s="9" t="s">
        <v>706</v>
      </c>
      <c r="G249" s="9" t="s">
        <v>707</v>
      </c>
      <c r="H249" s="12" t="n">
        <v>1313.567</v>
      </c>
      <c r="I249" s="6" t="s">
        <v>394</v>
      </c>
      <c r="J249" s="6" t="s">
        <v>708</v>
      </c>
      <c r="K249" s="6"/>
      <c r="L249" s="6"/>
      <c r="M249" s="6" t="s">
        <v>37</v>
      </c>
      <c r="N249" s="13" t="str">
        <f aca="false">IFERROR(INDEX(Rates!$B$5:$B$84,MATCH(M249,Rates!$A$5:$A$84,0)),"")</f>
        <v>Cement OPC, 50 kg bag (Lucky / Bestway / Maple Leaf)</v>
      </c>
      <c r="O249" s="12" t="n">
        <v>21.838</v>
      </c>
      <c r="P249" s="14" t="str">
        <f aca="false">IFERROR(INDEX(Rates!$C$5:$C$84,MATCH(M249,Rates!$A$5:$A$84,0)),"")</f>
        <v>bag</v>
      </c>
      <c r="Q249" s="15" t="n">
        <f aca="false">IFERROR(INDEX(Rates!$D$5:$D$84,MATCH(M249,Rates!$A$5:$A$84,0)),0)</f>
        <v>0.03</v>
      </c>
      <c r="R249" s="12" t="n">
        <f aca="false">O249*(1+Q249)</f>
        <v>22.49314</v>
      </c>
      <c r="S249" s="16" t="n">
        <f aca="false">IFERROR(INDEX(Rates!$E$5:$E$84,MATCH(M249,Rates!$A$5:$A$84,0)),0)</f>
        <v>1560</v>
      </c>
      <c r="T249" s="7" t="n">
        <f aca="false">R249*S249</f>
        <v>35089.2984</v>
      </c>
      <c r="U249" s="17" t="str">
        <f aca="false">IF(M249="BRK",R249/2000,IF(OR(M249="SNDC",M249="SNDM",M249="CRS",M249="KHG",M249="EARTH"),R249/100,""))</f>
        <v/>
      </c>
    </row>
    <row r="250" customFormat="false" ht="15" hidden="false" customHeight="false" outlineLevel="0" collapsed="false">
      <c r="A250" s="6" t="s">
        <v>666</v>
      </c>
      <c r="B250" s="6" t="s">
        <v>667</v>
      </c>
      <c r="C250" s="6" t="s">
        <v>703</v>
      </c>
      <c r="D250" s="9"/>
      <c r="E250" s="9"/>
      <c r="F250" s="9"/>
      <c r="G250" s="9"/>
      <c r="H250" s="12"/>
      <c r="I250" s="6"/>
      <c r="J250" s="6" t="s">
        <v>708</v>
      </c>
      <c r="K250" s="6"/>
      <c r="L250" s="6"/>
      <c r="M250" s="6" t="s">
        <v>76</v>
      </c>
      <c r="N250" s="13" t="str">
        <f aca="false">IFERROR(INDEX(Rates!$B$5:$B$84,MATCH(M250,Rates!$A$5:$A$84,0)),"")</f>
        <v>Ravi sand (mortar, plaster, blinding, fill)</v>
      </c>
      <c r="O250" s="12" t="n">
        <v>109.1902</v>
      </c>
      <c r="P250" s="14" t="str">
        <f aca="false">IFERROR(INDEX(Rates!$C$5:$C$84,MATCH(M250,Rates!$A$5:$A$84,0)),"")</f>
        <v>cft</v>
      </c>
      <c r="Q250" s="15" t="n">
        <f aca="false">IFERROR(INDEX(Rates!$D$5:$D$84,MATCH(M250,Rates!$A$5:$A$84,0)),0)</f>
        <v>0.08</v>
      </c>
      <c r="R250" s="12" t="n">
        <f aca="false">O250*(1+Q250)</f>
        <v>117.925416</v>
      </c>
      <c r="S250" s="16" t="n">
        <f aca="false">IFERROR(INDEX(Rates!$E$5:$E$84,MATCH(M250,Rates!$A$5:$A$84,0)),0)</f>
        <v>40</v>
      </c>
      <c r="T250" s="7" t="n">
        <f aca="false">R250*S250</f>
        <v>4717.01664</v>
      </c>
      <c r="U250" s="17" t="n">
        <f aca="false">IF(M250="BRK",R250/2000,IF(OR(M250="SNDC",M250="SNDM",M250="CRS",M250="KHG",M250="EARTH"),R250/100,""))</f>
        <v>1.17925416</v>
      </c>
    </row>
    <row r="251" customFormat="false" ht="43.25" hidden="false" customHeight="false" outlineLevel="0" collapsed="false">
      <c r="A251" s="6" t="s">
        <v>666</v>
      </c>
      <c r="B251" s="6" t="s">
        <v>667</v>
      </c>
      <c r="C251" s="6" t="s">
        <v>709</v>
      </c>
      <c r="D251" s="9" t="s">
        <v>710</v>
      </c>
      <c r="E251" s="9" t="s">
        <v>711</v>
      </c>
      <c r="F251" s="9" t="s">
        <v>712</v>
      </c>
      <c r="G251" s="9" t="s">
        <v>713</v>
      </c>
      <c r="H251" s="12" t="n">
        <v>240.794</v>
      </c>
      <c r="I251" s="6" t="s">
        <v>394</v>
      </c>
      <c r="J251" s="6" t="s">
        <v>708</v>
      </c>
      <c r="K251" s="6"/>
      <c r="L251" s="6"/>
      <c r="M251" s="6" t="s">
        <v>37</v>
      </c>
      <c r="N251" s="13" t="str">
        <f aca="false">IFERROR(INDEX(Rates!$B$5:$B$84,MATCH(M251,Rates!$A$5:$A$84,0)),"")</f>
        <v>Cement OPC, 50 kg bag (Lucky / Bestway / Maple Leaf)</v>
      </c>
      <c r="O251" s="12" t="n">
        <v>2.502</v>
      </c>
      <c r="P251" s="14" t="str">
        <f aca="false">IFERROR(INDEX(Rates!$C$5:$C$84,MATCH(M251,Rates!$A$5:$A$84,0)),"")</f>
        <v>bag</v>
      </c>
      <c r="Q251" s="15" t="n">
        <f aca="false">IFERROR(INDEX(Rates!$D$5:$D$84,MATCH(M251,Rates!$A$5:$A$84,0)),0)</f>
        <v>0.03</v>
      </c>
      <c r="R251" s="12" t="n">
        <f aca="false">O251*(1+Q251)</f>
        <v>2.57706</v>
      </c>
      <c r="S251" s="16" t="n">
        <f aca="false">IFERROR(INDEX(Rates!$E$5:$E$84,MATCH(M251,Rates!$A$5:$A$84,0)),0)</f>
        <v>1560</v>
      </c>
      <c r="T251" s="7" t="n">
        <f aca="false">R251*S251</f>
        <v>4020.2136</v>
      </c>
      <c r="U251" s="17" t="str">
        <f aca="false">IF(M251="BRK",R251/2000,IF(OR(M251="SNDC",M251="SNDM",M251="CRS",M251="KHG",M251="EARTH"),R251/100,""))</f>
        <v/>
      </c>
    </row>
    <row r="252" customFormat="false" ht="15" hidden="false" customHeight="false" outlineLevel="0" collapsed="false">
      <c r="A252" s="6" t="s">
        <v>666</v>
      </c>
      <c r="B252" s="6" t="s">
        <v>667</v>
      </c>
      <c r="C252" s="6" t="s">
        <v>709</v>
      </c>
      <c r="D252" s="9"/>
      <c r="E252" s="9"/>
      <c r="F252" s="9"/>
      <c r="G252" s="9"/>
      <c r="H252" s="12"/>
      <c r="I252" s="6"/>
      <c r="J252" s="6" t="s">
        <v>708</v>
      </c>
      <c r="K252" s="6"/>
      <c r="L252" s="6"/>
      <c r="M252" s="6" t="s">
        <v>76</v>
      </c>
      <c r="N252" s="13" t="str">
        <f aca="false">IFERROR(INDEX(Rates!$B$5:$B$84,MATCH(M252,Rates!$A$5:$A$84,0)),"")</f>
        <v>Ravi sand (mortar, plaster, blinding, fill)</v>
      </c>
      <c r="O252" s="12" t="n">
        <v>9.3825</v>
      </c>
      <c r="P252" s="14" t="str">
        <f aca="false">IFERROR(INDEX(Rates!$C$5:$C$84,MATCH(M252,Rates!$A$5:$A$84,0)),"")</f>
        <v>cft</v>
      </c>
      <c r="Q252" s="15" t="n">
        <f aca="false">IFERROR(INDEX(Rates!$D$5:$D$84,MATCH(M252,Rates!$A$5:$A$84,0)),0)</f>
        <v>0.08</v>
      </c>
      <c r="R252" s="12" t="n">
        <f aca="false">O252*(1+Q252)</f>
        <v>10.1331</v>
      </c>
      <c r="S252" s="16" t="n">
        <f aca="false">IFERROR(INDEX(Rates!$E$5:$E$84,MATCH(M252,Rates!$A$5:$A$84,0)),0)</f>
        <v>40</v>
      </c>
      <c r="T252" s="7" t="n">
        <f aca="false">R252*S252</f>
        <v>405.324</v>
      </c>
      <c r="U252" s="17" t="n">
        <f aca="false">IF(M252="BRK",R252/2000,IF(OR(M252="SNDC",M252="SNDM",M252="CRS",M252="KHG",M252="EARTH"),R252/100,""))</f>
        <v>0.101331</v>
      </c>
    </row>
    <row r="253" customFormat="false" ht="32.8" hidden="false" customHeight="false" outlineLevel="0" collapsed="false">
      <c r="A253" s="6" t="s">
        <v>714</v>
      </c>
      <c r="B253" s="6" t="s">
        <v>715</v>
      </c>
      <c r="C253" s="6" t="s">
        <v>716</v>
      </c>
      <c r="D253" s="9" t="s">
        <v>717</v>
      </c>
      <c r="E253" s="9" t="s">
        <v>718</v>
      </c>
      <c r="F253" s="9" t="s">
        <v>719</v>
      </c>
      <c r="G253" s="9" t="s">
        <v>720</v>
      </c>
      <c r="H253" s="12" t="n">
        <v>774.562</v>
      </c>
      <c r="I253" s="6" t="s">
        <v>71</v>
      </c>
      <c r="J253" s="6" t="s">
        <v>721</v>
      </c>
      <c r="K253" s="6" t="s">
        <v>722</v>
      </c>
      <c r="L253" s="6" t="s">
        <v>297</v>
      </c>
      <c r="M253" s="6"/>
      <c r="N253" s="13"/>
      <c r="O253" s="12"/>
      <c r="P253" s="14"/>
      <c r="Q253" s="15"/>
      <c r="R253" s="12"/>
      <c r="S253" s="16"/>
      <c r="T253" s="7" t="n">
        <v>0</v>
      </c>
      <c r="U253" s="17"/>
    </row>
    <row r="254" customFormat="false" ht="22.35" hidden="false" customHeight="false" outlineLevel="0" collapsed="false">
      <c r="A254" s="6" t="s">
        <v>714</v>
      </c>
      <c r="B254" s="6" t="s">
        <v>715</v>
      </c>
      <c r="C254" s="6" t="s">
        <v>723</v>
      </c>
      <c r="D254" s="9" t="s">
        <v>717</v>
      </c>
      <c r="E254" s="9" t="s">
        <v>724</v>
      </c>
      <c r="F254" s="9" t="s">
        <v>725</v>
      </c>
      <c r="G254" s="9" t="s">
        <v>726</v>
      </c>
      <c r="H254" s="12" t="n">
        <v>36.713</v>
      </c>
      <c r="I254" s="6" t="s">
        <v>71</v>
      </c>
      <c r="J254" s="6" t="s">
        <v>721</v>
      </c>
      <c r="K254" s="6" t="s">
        <v>722</v>
      </c>
      <c r="L254" s="6"/>
      <c r="M254" s="6" t="s">
        <v>37</v>
      </c>
      <c r="N254" s="13" t="str">
        <f aca="false">IFERROR(INDEX(Rates!$B$5:$B$84,MATCH(M254,Rates!$A$5:$A$84,0)),"")</f>
        <v>Cement OPC, 50 kg bag (Lucky / Bestway / Maple Leaf)</v>
      </c>
      <c r="O254" s="12" t="n">
        <v>3.5471</v>
      </c>
      <c r="P254" s="14" t="str">
        <f aca="false">IFERROR(INDEX(Rates!$C$5:$C$84,MATCH(M254,Rates!$A$5:$A$84,0)),"")</f>
        <v>bag</v>
      </c>
      <c r="Q254" s="15" t="n">
        <f aca="false">IFERROR(INDEX(Rates!$D$5:$D$84,MATCH(M254,Rates!$A$5:$A$84,0)),0)</f>
        <v>0.03</v>
      </c>
      <c r="R254" s="12" t="n">
        <f aca="false">O254*(1+Q254)</f>
        <v>3.653513</v>
      </c>
      <c r="S254" s="16" t="n">
        <f aca="false">IFERROR(INDEX(Rates!$E$5:$E$84,MATCH(M254,Rates!$A$5:$A$84,0)),0)</f>
        <v>1560</v>
      </c>
      <c r="T254" s="7" t="n">
        <f aca="false">R254*S254</f>
        <v>5699.48028</v>
      </c>
      <c r="U254" s="17" t="str">
        <f aca="false">IF(M254="BRK",R254/2000,IF(OR(M254="SNDC",M254="SNDM",M254="CRS",M254="KHG",M254="EARTH"),R254/100,""))</f>
        <v/>
      </c>
    </row>
    <row r="255" customFormat="false" ht="15" hidden="false" customHeight="false" outlineLevel="0" collapsed="false">
      <c r="A255" s="6" t="s">
        <v>714</v>
      </c>
      <c r="B255" s="6" t="s">
        <v>715</v>
      </c>
      <c r="C255" s="6" t="s">
        <v>723</v>
      </c>
      <c r="D255" s="9"/>
      <c r="E255" s="9"/>
      <c r="F255" s="9"/>
      <c r="G255" s="9"/>
      <c r="H255" s="12"/>
      <c r="I255" s="6"/>
      <c r="J255" s="6" t="s">
        <v>721</v>
      </c>
      <c r="K255" s="6" t="s">
        <v>722</v>
      </c>
      <c r="L255" s="6"/>
      <c r="M255" s="6" t="s">
        <v>69</v>
      </c>
      <c r="N255" s="13" t="str">
        <f aca="false">IFERROR(INDEX(Rates!$B$5:$B$84,MATCH(M255,Rates!$A$5:$A$84,0)),"")</f>
        <v>Chenab sand (concrete, screed)</v>
      </c>
      <c r="O255" s="12" t="n">
        <v>17.7353</v>
      </c>
      <c r="P255" s="14" t="str">
        <f aca="false">IFERROR(INDEX(Rates!$C$5:$C$84,MATCH(M255,Rates!$A$5:$A$84,0)),"")</f>
        <v>cft</v>
      </c>
      <c r="Q255" s="15" t="n">
        <f aca="false">IFERROR(INDEX(Rates!$D$5:$D$84,MATCH(M255,Rates!$A$5:$A$84,0)),0)</f>
        <v>0.08</v>
      </c>
      <c r="R255" s="12" t="n">
        <f aca="false">O255*(1+Q255)</f>
        <v>19.154124</v>
      </c>
      <c r="S255" s="16" t="n">
        <f aca="false">IFERROR(INDEX(Rates!$E$5:$E$84,MATCH(M255,Rates!$A$5:$A$84,0)),0)</f>
        <v>65</v>
      </c>
      <c r="T255" s="7" t="n">
        <f aca="false">R255*S255</f>
        <v>1245.01806</v>
      </c>
      <c r="U255" s="17" t="n">
        <f aca="false">IF(M255="BRK",R255/2000,IF(OR(M255="SNDC",M255="SNDM",M255="CRS",M255="KHG",M255="EARTH"),R255/100,""))</f>
        <v>0.19154124</v>
      </c>
    </row>
    <row r="256" customFormat="false" ht="15" hidden="false" customHeight="false" outlineLevel="0" collapsed="false">
      <c r="A256" s="6" t="s">
        <v>714</v>
      </c>
      <c r="B256" s="6" t="s">
        <v>715</v>
      </c>
      <c r="C256" s="6" t="s">
        <v>723</v>
      </c>
      <c r="D256" s="9"/>
      <c r="E256" s="9"/>
      <c r="F256" s="9"/>
      <c r="G256" s="9"/>
      <c r="H256" s="12"/>
      <c r="I256" s="6"/>
      <c r="J256" s="6" t="s">
        <v>721</v>
      </c>
      <c r="K256" s="6" t="s">
        <v>722</v>
      </c>
      <c r="L256" s="6"/>
      <c r="M256" s="6" t="s">
        <v>79</v>
      </c>
      <c r="N256" s="13" t="str">
        <f aca="false">IFERROR(INDEX(Rates!$B$5:$B$84,MATCH(M256,Rates!$A$5:$A$84,0)),"")</f>
        <v>Crush ¾" down, Sargodha (bajri)</v>
      </c>
      <c r="O256" s="12" t="n">
        <v>35.4706</v>
      </c>
      <c r="P256" s="14" t="str">
        <f aca="false">IFERROR(INDEX(Rates!$C$5:$C$84,MATCH(M256,Rates!$A$5:$A$84,0)),"")</f>
        <v>cft</v>
      </c>
      <c r="Q256" s="15" t="n">
        <f aca="false">IFERROR(INDEX(Rates!$D$5:$D$84,MATCH(M256,Rates!$A$5:$A$84,0)),0)</f>
        <v>0.05</v>
      </c>
      <c r="R256" s="12" t="n">
        <f aca="false">O256*(1+Q256)</f>
        <v>37.24413</v>
      </c>
      <c r="S256" s="16" t="n">
        <f aca="false">IFERROR(INDEX(Rates!$E$5:$E$84,MATCH(M256,Rates!$A$5:$A$84,0)),0)</f>
        <v>110</v>
      </c>
      <c r="T256" s="7" t="n">
        <f aca="false">R256*S256</f>
        <v>4096.8543</v>
      </c>
      <c r="U256" s="17" t="n">
        <f aca="false">IF(M256="BRK",R256/2000,IF(OR(M256="SNDC",M256="SNDM",M256="CRS",M256="KHG",M256="EARTH"),R256/100,""))</f>
        <v>0.3724413</v>
      </c>
    </row>
    <row r="257" customFormat="false" ht="32.8" hidden="false" customHeight="false" outlineLevel="0" collapsed="false">
      <c r="A257" s="6" t="s">
        <v>714</v>
      </c>
      <c r="B257" s="6" t="s">
        <v>715</v>
      </c>
      <c r="C257" s="6" t="s">
        <v>727</v>
      </c>
      <c r="D257" s="9" t="s">
        <v>717</v>
      </c>
      <c r="E257" s="9" t="s">
        <v>728</v>
      </c>
      <c r="F257" s="9" t="s">
        <v>729</v>
      </c>
      <c r="G257" s="9" t="s">
        <v>730</v>
      </c>
      <c r="H257" s="12" t="n">
        <v>259.875</v>
      </c>
      <c r="I257" s="6" t="s">
        <v>71</v>
      </c>
      <c r="J257" s="6" t="s">
        <v>721</v>
      </c>
      <c r="K257" s="6" t="s">
        <v>722</v>
      </c>
      <c r="L257" s="6"/>
      <c r="M257" s="6" t="s">
        <v>37</v>
      </c>
      <c r="N257" s="13" t="str">
        <f aca="false">IFERROR(INDEX(Rates!$B$5:$B$84,MATCH(M257,Rates!$A$5:$A$84,0)),"")</f>
        <v>Cement OPC, 50 kg bag (Lucky / Bestway / Maple Leaf)</v>
      </c>
      <c r="O257" s="12" t="n">
        <v>16.5904</v>
      </c>
      <c r="P257" s="14" t="str">
        <f aca="false">IFERROR(INDEX(Rates!$C$5:$C$84,MATCH(M257,Rates!$A$5:$A$84,0)),"")</f>
        <v>bag</v>
      </c>
      <c r="Q257" s="15" t="n">
        <f aca="false">IFERROR(INDEX(Rates!$D$5:$D$84,MATCH(M257,Rates!$A$5:$A$84,0)),0)</f>
        <v>0.03</v>
      </c>
      <c r="R257" s="12" t="n">
        <f aca="false">O257*(1+Q257)</f>
        <v>17.088112</v>
      </c>
      <c r="S257" s="16" t="n">
        <f aca="false">IFERROR(INDEX(Rates!$E$5:$E$84,MATCH(M257,Rates!$A$5:$A$84,0)),0)</f>
        <v>1560</v>
      </c>
      <c r="T257" s="7" t="n">
        <f aca="false">R257*S257</f>
        <v>26657.45472</v>
      </c>
      <c r="U257" s="17" t="str">
        <f aca="false">IF(M257="BRK",R257/2000,IF(OR(M257="SNDC",M257="SNDM",M257="CRS",M257="KHG",M257="EARTH"),R257/100,""))</f>
        <v/>
      </c>
    </row>
    <row r="258" customFormat="false" ht="15" hidden="false" customHeight="false" outlineLevel="0" collapsed="false">
      <c r="A258" s="6" t="s">
        <v>714</v>
      </c>
      <c r="B258" s="6" t="s">
        <v>715</v>
      </c>
      <c r="C258" s="6" t="s">
        <v>727</v>
      </c>
      <c r="D258" s="9"/>
      <c r="E258" s="9"/>
      <c r="F258" s="9"/>
      <c r="G258" s="9"/>
      <c r="H258" s="12"/>
      <c r="I258" s="6"/>
      <c r="J258" s="6" t="s">
        <v>721</v>
      </c>
      <c r="K258" s="6" t="s">
        <v>722</v>
      </c>
      <c r="L258" s="6"/>
      <c r="M258" s="6" t="s">
        <v>76</v>
      </c>
      <c r="N258" s="13" t="str">
        <f aca="false">IFERROR(INDEX(Rates!$B$5:$B$84,MATCH(M258,Rates!$A$5:$A$84,0)),"")</f>
        <v>Ravi sand (mortar, plaster, blinding, fill)</v>
      </c>
      <c r="O258" s="12" t="n">
        <v>82.9521</v>
      </c>
      <c r="P258" s="14" t="str">
        <f aca="false">IFERROR(INDEX(Rates!$C$5:$C$84,MATCH(M258,Rates!$A$5:$A$84,0)),"")</f>
        <v>cft</v>
      </c>
      <c r="Q258" s="15" t="n">
        <f aca="false">IFERROR(INDEX(Rates!$D$5:$D$84,MATCH(M258,Rates!$A$5:$A$84,0)),0)</f>
        <v>0.08</v>
      </c>
      <c r="R258" s="12" t="n">
        <f aca="false">O258*(1+Q258)</f>
        <v>89.588268</v>
      </c>
      <c r="S258" s="16" t="n">
        <f aca="false">IFERROR(INDEX(Rates!$E$5:$E$84,MATCH(M258,Rates!$A$5:$A$84,0)),0)</f>
        <v>40</v>
      </c>
      <c r="T258" s="7" t="n">
        <f aca="false">R258*S258</f>
        <v>3583.53072</v>
      </c>
      <c r="U258" s="17" t="n">
        <f aca="false">IF(M258="BRK",R258/2000,IF(OR(M258="SNDC",M258="SNDM",M258="CRS",M258="KHG",M258="EARTH"),R258/100,""))</f>
        <v>0.89588268</v>
      </c>
    </row>
    <row r="259" customFormat="false" ht="15" hidden="false" customHeight="false" outlineLevel="0" collapsed="false">
      <c r="A259" s="6" t="s">
        <v>714</v>
      </c>
      <c r="B259" s="6" t="s">
        <v>715</v>
      </c>
      <c r="C259" s="6" t="s">
        <v>727</v>
      </c>
      <c r="D259" s="9"/>
      <c r="E259" s="9"/>
      <c r="F259" s="9"/>
      <c r="G259" s="9"/>
      <c r="H259" s="12"/>
      <c r="I259" s="6"/>
      <c r="J259" s="6" t="s">
        <v>721</v>
      </c>
      <c r="K259" s="6" t="s">
        <v>722</v>
      </c>
      <c r="L259" s="6"/>
      <c r="M259" s="6" t="s">
        <v>43</v>
      </c>
      <c r="N259" s="13" t="str">
        <f aca="false">IFERROR(INDEX(Rates!$B$5:$B$84,MATCH(M259,Rates!$A$5:$A$84,0)),"")</f>
        <v>Bricks, first class (awwal), 9" x 4½" x 3"</v>
      </c>
      <c r="O259" s="12" t="n">
        <v>3508.3125</v>
      </c>
      <c r="P259" s="14" t="str">
        <f aca="false">IFERROR(INDEX(Rates!$C$5:$C$84,MATCH(M259,Rates!$A$5:$A$84,0)),"")</f>
        <v>nos</v>
      </c>
      <c r="Q259" s="15" t="n">
        <f aca="false">IFERROR(INDEX(Rates!$D$5:$D$84,MATCH(M259,Rates!$A$5:$A$84,0)),0)</f>
        <v>0.05</v>
      </c>
      <c r="R259" s="12" t="n">
        <f aca="false">O259*(1+Q259)</f>
        <v>3683.728125</v>
      </c>
      <c r="S259" s="16" t="n">
        <f aca="false">IFERROR(INDEX(Rates!$E$5:$E$84,MATCH(M259,Rates!$A$5:$A$84,0)),0)</f>
        <v>16</v>
      </c>
      <c r="T259" s="7" t="n">
        <f aca="false">R259*S259</f>
        <v>58939.65</v>
      </c>
      <c r="U259" s="17" t="n">
        <f aca="false">IF(M259="BRK",R259/2000,IF(OR(M259="SNDC",M259="SNDM",M259="CRS",M259="KHG",M259="EARTH"),R259/100,""))</f>
        <v>1.8418640625</v>
      </c>
    </row>
    <row r="260" customFormat="false" ht="22.35" hidden="false" customHeight="false" outlineLevel="0" collapsed="false">
      <c r="A260" s="6" t="s">
        <v>714</v>
      </c>
      <c r="B260" s="6" t="s">
        <v>715</v>
      </c>
      <c r="C260" s="6" t="s">
        <v>731</v>
      </c>
      <c r="D260" s="9" t="s">
        <v>717</v>
      </c>
      <c r="E260" s="9" t="s">
        <v>732</v>
      </c>
      <c r="F260" s="9" t="s">
        <v>733</v>
      </c>
      <c r="G260" s="9" t="s">
        <v>734</v>
      </c>
      <c r="H260" s="12" t="n">
        <v>13.5</v>
      </c>
      <c r="I260" s="6" t="s">
        <v>71</v>
      </c>
      <c r="J260" s="6" t="s">
        <v>721</v>
      </c>
      <c r="K260" s="6" t="s">
        <v>722</v>
      </c>
      <c r="L260" s="6"/>
      <c r="M260" s="6" t="s">
        <v>37</v>
      </c>
      <c r="N260" s="13" t="str">
        <f aca="false">IFERROR(INDEX(Rates!$B$5:$B$84,MATCH(M260,Rates!$A$5:$A$84,0)),"")</f>
        <v>Cement OPC, 50 kg bag (Lucky / Bestway / Maple Leaf)</v>
      </c>
      <c r="O260" s="12" t="n">
        <v>2.4223</v>
      </c>
      <c r="P260" s="14" t="str">
        <f aca="false">IFERROR(INDEX(Rates!$C$5:$C$84,MATCH(M260,Rates!$A$5:$A$84,0)),"")</f>
        <v>bag</v>
      </c>
      <c r="Q260" s="15" t="n">
        <f aca="false">IFERROR(INDEX(Rates!$D$5:$D$84,MATCH(M260,Rates!$A$5:$A$84,0)),0)</f>
        <v>0.03</v>
      </c>
      <c r="R260" s="12" t="n">
        <f aca="false">O260*(1+Q260)</f>
        <v>2.494969</v>
      </c>
      <c r="S260" s="16" t="n">
        <f aca="false">IFERROR(INDEX(Rates!$E$5:$E$84,MATCH(M260,Rates!$A$5:$A$84,0)),0)</f>
        <v>1560</v>
      </c>
      <c r="T260" s="7" t="n">
        <f aca="false">R260*S260</f>
        <v>3892.15164</v>
      </c>
      <c r="U260" s="17" t="str">
        <f aca="false">IF(M260="BRK",R260/2000,IF(OR(M260="SNDC",M260="SNDM",M260="CRS",M260="KHG",M260="EARTH"),R260/100,""))</f>
        <v/>
      </c>
    </row>
    <row r="261" customFormat="false" ht="15" hidden="false" customHeight="false" outlineLevel="0" collapsed="false">
      <c r="A261" s="6" t="s">
        <v>714</v>
      </c>
      <c r="B261" s="6" t="s">
        <v>715</v>
      </c>
      <c r="C261" s="6" t="s">
        <v>731</v>
      </c>
      <c r="D261" s="9"/>
      <c r="E261" s="9"/>
      <c r="F261" s="9"/>
      <c r="G261" s="9"/>
      <c r="H261" s="12"/>
      <c r="I261" s="6"/>
      <c r="J261" s="6" t="s">
        <v>721</v>
      </c>
      <c r="K261" s="6" t="s">
        <v>722</v>
      </c>
      <c r="L261" s="6"/>
      <c r="M261" s="6" t="s">
        <v>69</v>
      </c>
      <c r="N261" s="13" t="str">
        <f aca="false">IFERROR(INDEX(Rates!$B$5:$B$84,MATCH(M261,Rates!$A$5:$A$84,0)),"")</f>
        <v>Chenab sand (concrete, screed)</v>
      </c>
      <c r="O261" s="12" t="n">
        <v>6.0557</v>
      </c>
      <c r="P261" s="14" t="str">
        <f aca="false">IFERROR(INDEX(Rates!$C$5:$C$84,MATCH(M261,Rates!$A$5:$A$84,0)),"")</f>
        <v>cft</v>
      </c>
      <c r="Q261" s="15" t="n">
        <f aca="false">IFERROR(INDEX(Rates!$D$5:$D$84,MATCH(M261,Rates!$A$5:$A$84,0)),0)</f>
        <v>0.08</v>
      </c>
      <c r="R261" s="12" t="n">
        <f aca="false">O261*(1+Q261)</f>
        <v>6.540156</v>
      </c>
      <c r="S261" s="16" t="n">
        <f aca="false">IFERROR(INDEX(Rates!$E$5:$E$84,MATCH(M261,Rates!$A$5:$A$84,0)),0)</f>
        <v>65</v>
      </c>
      <c r="T261" s="7" t="n">
        <f aca="false">R261*S261</f>
        <v>425.11014</v>
      </c>
      <c r="U261" s="17" t="n">
        <f aca="false">IF(M261="BRK",R261/2000,IF(OR(M261="SNDC",M261="SNDM",M261="CRS",M261="KHG",M261="EARTH"),R261/100,""))</f>
        <v>0.06540156</v>
      </c>
    </row>
    <row r="262" customFormat="false" ht="15" hidden="false" customHeight="false" outlineLevel="0" collapsed="false">
      <c r="A262" s="6" t="s">
        <v>714</v>
      </c>
      <c r="B262" s="6" t="s">
        <v>715</v>
      </c>
      <c r="C262" s="6" t="s">
        <v>731</v>
      </c>
      <c r="D262" s="9"/>
      <c r="E262" s="9"/>
      <c r="F262" s="9"/>
      <c r="G262" s="9"/>
      <c r="H262" s="12"/>
      <c r="I262" s="6"/>
      <c r="J262" s="6" t="s">
        <v>721</v>
      </c>
      <c r="K262" s="6" t="s">
        <v>722</v>
      </c>
      <c r="L262" s="6"/>
      <c r="M262" s="6" t="s">
        <v>79</v>
      </c>
      <c r="N262" s="13" t="str">
        <f aca="false">IFERROR(INDEX(Rates!$B$5:$B$84,MATCH(M262,Rates!$A$5:$A$84,0)),"")</f>
        <v>Crush ¾" down, Sargodha (bajri)</v>
      </c>
      <c r="O262" s="12" t="n">
        <v>12.1114</v>
      </c>
      <c r="P262" s="14" t="str">
        <f aca="false">IFERROR(INDEX(Rates!$C$5:$C$84,MATCH(M262,Rates!$A$5:$A$84,0)),"")</f>
        <v>cft</v>
      </c>
      <c r="Q262" s="15" t="n">
        <f aca="false">IFERROR(INDEX(Rates!$D$5:$D$84,MATCH(M262,Rates!$A$5:$A$84,0)),0)</f>
        <v>0.05</v>
      </c>
      <c r="R262" s="12" t="n">
        <f aca="false">O262*(1+Q262)</f>
        <v>12.71697</v>
      </c>
      <c r="S262" s="16" t="n">
        <f aca="false">IFERROR(INDEX(Rates!$E$5:$E$84,MATCH(M262,Rates!$A$5:$A$84,0)),0)</f>
        <v>110</v>
      </c>
      <c r="T262" s="7" t="n">
        <f aca="false">R262*S262</f>
        <v>1398.8667</v>
      </c>
      <c r="U262" s="17" t="n">
        <f aca="false">IF(M262="BRK",R262/2000,IF(OR(M262="SNDC",M262="SNDM",M262="CRS",M262="KHG",M262="EARTH"),R262/100,""))</f>
        <v>0.1271697</v>
      </c>
    </row>
    <row r="263" customFormat="false" ht="22.35" hidden="false" customHeight="false" outlineLevel="0" collapsed="false">
      <c r="A263" s="6" t="s">
        <v>714</v>
      </c>
      <c r="B263" s="6" t="s">
        <v>715</v>
      </c>
      <c r="C263" s="6" t="s">
        <v>735</v>
      </c>
      <c r="D263" s="9" t="s">
        <v>717</v>
      </c>
      <c r="E263" s="9" t="s">
        <v>736</v>
      </c>
      <c r="F263" s="9" t="s">
        <v>737</v>
      </c>
      <c r="G263" s="9" t="s">
        <v>738</v>
      </c>
      <c r="H263" s="12" t="n">
        <v>288</v>
      </c>
      <c r="I263" s="6" t="s">
        <v>394</v>
      </c>
      <c r="J263" s="6" t="s">
        <v>721</v>
      </c>
      <c r="K263" s="6" t="s">
        <v>722</v>
      </c>
      <c r="L263" s="6"/>
      <c r="M263" s="6" t="s">
        <v>37</v>
      </c>
      <c r="N263" s="13" t="str">
        <f aca="false">IFERROR(INDEX(Rates!$B$5:$B$84,MATCH(M263,Rates!$A$5:$A$84,0)),"")</f>
        <v>Cement OPC, 50 kg bag (Lucky / Bestway / Maple Leaf)</v>
      </c>
      <c r="O263" s="12" t="n">
        <v>3.99</v>
      </c>
      <c r="P263" s="14" t="str">
        <f aca="false">IFERROR(INDEX(Rates!$C$5:$C$84,MATCH(M263,Rates!$A$5:$A$84,0)),"")</f>
        <v>bag</v>
      </c>
      <c r="Q263" s="15" t="n">
        <f aca="false">IFERROR(INDEX(Rates!$D$5:$D$84,MATCH(M263,Rates!$A$5:$A$84,0)),0)</f>
        <v>0.03</v>
      </c>
      <c r="R263" s="12" t="n">
        <f aca="false">O263*(1+Q263)</f>
        <v>4.1097</v>
      </c>
      <c r="S263" s="16" t="n">
        <f aca="false">IFERROR(INDEX(Rates!$E$5:$E$84,MATCH(M263,Rates!$A$5:$A$84,0)),0)</f>
        <v>1560</v>
      </c>
      <c r="T263" s="7" t="n">
        <f aca="false">R263*S263</f>
        <v>6411.132</v>
      </c>
      <c r="U263" s="17" t="str">
        <f aca="false">IF(M263="BRK",R263/2000,IF(OR(M263="SNDC",M263="SNDM",M263="CRS",M263="KHG",M263="EARTH"),R263/100,""))</f>
        <v/>
      </c>
    </row>
    <row r="264" customFormat="false" ht="15" hidden="false" customHeight="false" outlineLevel="0" collapsed="false">
      <c r="A264" s="6" t="s">
        <v>714</v>
      </c>
      <c r="B264" s="6" t="s">
        <v>715</v>
      </c>
      <c r="C264" s="6" t="s">
        <v>735</v>
      </c>
      <c r="D264" s="9"/>
      <c r="E264" s="9"/>
      <c r="F264" s="9"/>
      <c r="G264" s="9"/>
      <c r="H264" s="12"/>
      <c r="I264" s="6"/>
      <c r="J264" s="6" t="s">
        <v>721</v>
      </c>
      <c r="K264" s="6" t="s">
        <v>722</v>
      </c>
      <c r="L264" s="6"/>
      <c r="M264" s="6" t="s">
        <v>76</v>
      </c>
      <c r="N264" s="13" t="str">
        <f aca="false">IFERROR(INDEX(Rates!$B$5:$B$84,MATCH(M264,Rates!$A$5:$A$84,0)),"")</f>
        <v>Ravi sand (mortar, plaster, blinding, fill)</v>
      </c>
      <c r="O264" s="12" t="n">
        <v>14.9625</v>
      </c>
      <c r="P264" s="14" t="str">
        <f aca="false">IFERROR(INDEX(Rates!$C$5:$C$84,MATCH(M264,Rates!$A$5:$A$84,0)),"")</f>
        <v>cft</v>
      </c>
      <c r="Q264" s="15" t="n">
        <f aca="false">IFERROR(INDEX(Rates!$D$5:$D$84,MATCH(M264,Rates!$A$5:$A$84,0)),0)</f>
        <v>0.08</v>
      </c>
      <c r="R264" s="12" t="n">
        <f aca="false">O264*(1+Q264)</f>
        <v>16.1595</v>
      </c>
      <c r="S264" s="16" t="n">
        <f aca="false">IFERROR(INDEX(Rates!$E$5:$E$84,MATCH(M264,Rates!$A$5:$A$84,0)),0)</f>
        <v>40</v>
      </c>
      <c r="T264" s="7" t="n">
        <f aca="false">R264*S264</f>
        <v>646.38</v>
      </c>
      <c r="U264" s="17" t="n">
        <f aca="false">IF(M264="BRK",R264/2000,IF(OR(M264="SNDC",M264="SNDM",M264="CRS",M264="KHG",M264="EARTH"),R264/100,""))</f>
        <v>0.161595</v>
      </c>
    </row>
    <row r="265" customFormat="false" ht="15" hidden="false" customHeight="false" outlineLevel="0" collapsed="false">
      <c r="A265" s="6" t="s">
        <v>714</v>
      </c>
      <c r="B265" s="6" t="s">
        <v>715</v>
      </c>
      <c r="C265" s="6" t="s">
        <v>739</v>
      </c>
      <c r="D265" s="9" t="s">
        <v>722</v>
      </c>
      <c r="E265" s="9" t="s">
        <v>740</v>
      </c>
      <c r="F265" s="9"/>
      <c r="G265" s="9" t="s">
        <v>741</v>
      </c>
      <c r="H265" s="12" t="n">
        <v>443.812</v>
      </c>
      <c r="I265" s="6" t="s">
        <v>71</v>
      </c>
      <c r="J265" s="6" t="s">
        <v>721</v>
      </c>
      <c r="K265" s="6"/>
      <c r="L265" s="6" t="s">
        <v>403</v>
      </c>
      <c r="M265" s="6"/>
      <c r="N265" s="13"/>
      <c r="O265" s="12"/>
      <c r="P265" s="14"/>
      <c r="Q265" s="15"/>
      <c r="R265" s="12"/>
      <c r="S265" s="16"/>
      <c r="T265" s="7" t="n">
        <v>0</v>
      </c>
      <c r="U265" s="17"/>
    </row>
    <row r="266" customFormat="false" ht="22.35" hidden="false" customHeight="false" outlineLevel="0" collapsed="false">
      <c r="A266" s="6" t="s">
        <v>714</v>
      </c>
      <c r="B266" s="6" t="s">
        <v>715</v>
      </c>
      <c r="C266" s="6" t="s">
        <v>742</v>
      </c>
      <c r="D266" s="9" t="s">
        <v>743</v>
      </c>
      <c r="E266" s="9" t="s">
        <v>744</v>
      </c>
      <c r="F266" s="9" t="s">
        <v>745</v>
      </c>
      <c r="G266" s="9" t="s">
        <v>746</v>
      </c>
      <c r="H266" s="12" t="n">
        <v>13.234</v>
      </c>
      <c r="I266" s="6" t="s">
        <v>71</v>
      </c>
      <c r="J266" s="6" t="s">
        <v>721</v>
      </c>
      <c r="K266" s="6" t="s">
        <v>747</v>
      </c>
      <c r="L266" s="6"/>
      <c r="M266" s="6" t="s">
        <v>37</v>
      </c>
      <c r="N266" s="13" t="str">
        <f aca="false">IFERROR(INDEX(Rates!$B$5:$B$84,MATCH(M266,Rates!$A$5:$A$84,0)),"")</f>
        <v>Cement OPC, 50 kg bag (Lucky / Bestway / Maple Leaf)</v>
      </c>
      <c r="O266" s="12" t="n">
        <v>2.3746</v>
      </c>
      <c r="P266" s="14" t="str">
        <f aca="false">IFERROR(INDEX(Rates!$C$5:$C$84,MATCH(M266,Rates!$A$5:$A$84,0)),"")</f>
        <v>bag</v>
      </c>
      <c r="Q266" s="15" t="n">
        <f aca="false">IFERROR(INDEX(Rates!$D$5:$D$84,MATCH(M266,Rates!$A$5:$A$84,0)),0)</f>
        <v>0.03</v>
      </c>
      <c r="R266" s="12" t="n">
        <f aca="false">O266*(1+Q266)</f>
        <v>2.445838</v>
      </c>
      <c r="S266" s="16" t="n">
        <f aca="false">IFERROR(INDEX(Rates!$E$5:$E$84,MATCH(M266,Rates!$A$5:$A$84,0)),0)</f>
        <v>1560</v>
      </c>
      <c r="T266" s="7" t="n">
        <f aca="false">R266*S266</f>
        <v>3815.50728</v>
      </c>
      <c r="U266" s="17" t="str">
        <f aca="false">IF(M266="BRK",R266/2000,IF(OR(M266="SNDC",M266="SNDM",M266="CRS",M266="KHG",M266="EARTH"),R266/100,""))</f>
        <v/>
      </c>
    </row>
    <row r="267" customFormat="false" ht="15" hidden="false" customHeight="false" outlineLevel="0" collapsed="false">
      <c r="A267" s="6" t="s">
        <v>714</v>
      </c>
      <c r="B267" s="6" t="s">
        <v>715</v>
      </c>
      <c r="C267" s="6" t="s">
        <v>742</v>
      </c>
      <c r="D267" s="9"/>
      <c r="E267" s="9"/>
      <c r="F267" s="9"/>
      <c r="G267" s="9"/>
      <c r="H267" s="12"/>
      <c r="I267" s="6"/>
      <c r="J267" s="6" t="s">
        <v>721</v>
      </c>
      <c r="K267" s="6" t="s">
        <v>747</v>
      </c>
      <c r="L267" s="6"/>
      <c r="M267" s="6" t="s">
        <v>69</v>
      </c>
      <c r="N267" s="13" t="str">
        <f aca="false">IFERROR(INDEX(Rates!$B$5:$B$84,MATCH(M267,Rates!$A$5:$A$84,0)),"")</f>
        <v>Chenab sand (concrete, screed)</v>
      </c>
      <c r="O267" s="12" t="n">
        <v>5.9366</v>
      </c>
      <c r="P267" s="14" t="str">
        <f aca="false">IFERROR(INDEX(Rates!$C$5:$C$84,MATCH(M267,Rates!$A$5:$A$84,0)),"")</f>
        <v>cft</v>
      </c>
      <c r="Q267" s="15" t="n">
        <f aca="false">IFERROR(INDEX(Rates!$D$5:$D$84,MATCH(M267,Rates!$A$5:$A$84,0)),0)</f>
        <v>0.08</v>
      </c>
      <c r="R267" s="12" t="n">
        <f aca="false">O267*(1+Q267)</f>
        <v>6.411528</v>
      </c>
      <c r="S267" s="16" t="n">
        <f aca="false">IFERROR(INDEX(Rates!$E$5:$E$84,MATCH(M267,Rates!$A$5:$A$84,0)),0)</f>
        <v>65</v>
      </c>
      <c r="T267" s="7" t="n">
        <f aca="false">R267*S267</f>
        <v>416.74932</v>
      </c>
      <c r="U267" s="17" t="n">
        <f aca="false">IF(M267="BRK",R267/2000,IF(OR(M267="SNDC",M267="SNDM",M267="CRS",M267="KHG",M267="EARTH"),R267/100,""))</f>
        <v>0.06411528</v>
      </c>
    </row>
    <row r="268" customFormat="false" ht="15" hidden="false" customHeight="false" outlineLevel="0" collapsed="false">
      <c r="A268" s="6" t="s">
        <v>714</v>
      </c>
      <c r="B268" s="6" t="s">
        <v>715</v>
      </c>
      <c r="C268" s="6" t="s">
        <v>742</v>
      </c>
      <c r="D268" s="9"/>
      <c r="E268" s="9"/>
      <c r="F268" s="9"/>
      <c r="G268" s="9"/>
      <c r="H268" s="12"/>
      <c r="I268" s="6"/>
      <c r="J268" s="6" t="s">
        <v>721</v>
      </c>
      <c r="K268" s="6" t="s">
        <v>747</v>
      </c>
      <c r="L268" s="6"/>
      <c r="M268" s="6" t="s">
        <v>79</v>
      </c>
      <c r="N268" s="13" t="str">
        <f aca="false">IFERROR(INDEX(Rates!$B$5:$B$84,MATCH(M268,Rates!$A$5:$A$84,0)),"")</f>
        <v>Crush ¾" down, Sargodha (bajri)</v>
      </c>
      <c r="O268" s="12" t="n">
        <v>11.8731</v>
      </c>
      <c r="P268" s="14" t="str">
        <f aca="false">IFERROR(INDEX(Rates!$C$5:$C$84,MATCH(M268,Rates!$A$5:$A$84,0)),"")</f>
        <v>cft</v>
      </c>
      <c r="Q268" s="15" t="n">
        <f aca="false">IFERROR(INDEX(Rates!$D$5:$D$84,MATCH(M268,Rates!$A$5:$A$84,0)),0)</f>
        <v>0.05</v>
      </c>
      <c r="R268" s="12" t="n">
        <f aca="false">O268*(1+Q268)</f>
        <v>12.466755</v>
      </c>
      <c r="S268" s="16" t="n">
        <f aca="false">IFERROR(INDEX(Rates!$E$5:$E$84,MATCH(M268,Rates!$A$5:$A$84,0)),0)</f>
        <v>110</v>
      </c>
      <c r="T268" s="7" t="n">
        <f aca="false">R268*S268</f>
        <v>1371.34305</v>
      </c>
      <c r="U268" s="17" t="n">
        <f aca="false">IF(M268="BRK",R268/2000,IF(OR(M268="SNDC",M268="SNDM",M268="CRS",M268="KHG",M268="EARTH"),R268/100,""))</f>
        <v>0.12466755</v>
      </c>
    </row>
    <row r="269" customFormat="false" ht="22.35" hidden="false" customHeight="false" outlineLevel="0" collapsed="false">
      <c r="A269" s="6" t="s">
        <v>714</v>
      </c>
      <c r="B269" s="6" t="s">
        <v>715</v>
      </c>
      <c r="C269" s="6" t="s">
        <v>742</v>
      </c>
      <c r="D269" s="9"/>
      <c r="E269" s="9"/>
      <c r="F269" s="9"/>
      <c r="G269" s="9"/>
      <c r="H269" s="12"/>
      <c r="I269" s="6"/>
      <c r="J269" s="6" t="s">
        <v>721</v>
      </c>
      <c r="K269" s="6" t="s">
        <v>747</v>
      </c>
      <c r="L269" s="6"/>
      <c r="M269" s="6" t="s">
        <v>56</v>
      </c>
      <c r="N269" s="13" t="str">
        <f aca="false">IFERROR(INDEX(Rates!$B$5:$B$84,MATCH(M269,Rates!$A$5:$A$84,0)),"")</f>
        <v>Steel Grade 60 deformed, #3 (10 mm) (Amreli / Mughal / FF Steel)</v>
      </c>
      <c r="O269" s="12" t="n">
        <v>41.7849</v>
      </c>
      <c r="P269" s="14" t="str">
        <f aca="false">IFERROR(INDEX(Rates!$C$5:$C$84,MATCH(M269,Rates!$A$5:$A$84,0)),"")</f>
        <v>kg</v>
      </c>
      <c r="Q269" s="15" t="n">
        <f aca="false">IFERROR(INDEX(Rates!$D$5:$D$84,MATCH(M269,Rates!$A$5:$A$84,0)),0)</f>
        <v>0.04</v>
      </c>
      <c r="R269" s="12" t="n">
        <f aca="false">O269*(1+Q269)</f>
        <v>43.456296</v>
      </c>
      <c r="S269" s="16" t="n">
        <f aca="false">IFERROR(INDEX(Rates!$E$5:$E$84,MATCH(M269,Rates!$A$5:$A$84,0)),0)</f>
        <v>262</v>
      </c>
      <c r="T269" s="7" t="n">
        <f aca="false">R269*S269</f>
        <v>11385.549552</v>
      </c>
      <c r="U269" s="17" t="str">
        <f aca="false">IF(M269="BRK",R269/2000,IF(OR(M269="SNDC",M269="SNDM",M269="CRS",M269="KHG",M269="EARTH"),R269/100,""))</f>
        <v/>
      </c>
    </row>
    <row r="270" customFormat="false" ht="22.35" hidden="false" customHeight="false" outlineLevel="0" collapsed="false">
      <c r="A270" s="6" t="s">
        <v>714</v>
      </c>
      <c r="B270" s="6" t="s">
        <v>715</v>
      </c>
      <c r="C270" s="6" t="s">
        <v>748</v>
      </c>
      <c r="D270" s="9" t="s">
        <v>749</v>
      </c>
      <c r="E270" s="9" t="s">
        <v>750</v>
      </c>
      <c r="F270" s="9" t="s">
        <v>751</v>
      </c>
      <c r="G270" s="9" t="s">
        <v>752</v>
      </c>
      <c r="H270" s="12" t="n">
        <v>2</v>
      </c>
      <c r="I270" s="6" t="s">
        <v>45</v>
      </c>
      <c r="J270" s="6" t="s">
        <v>721</v>
      </c>
      <c r="K270" s="6"/>
      <c r="L270" s="6"/>
      <c r="M270" s="6" t="s">
        <v>150</v>
      </c>
      <c r="N270" s="13" t="str">
        <f aca="false">IFERROR(INDEX(Rates!$B$5:$B$84,MATCH(M270,Rates!$A$5:$A$84,0)),"")</f>
        <v>Heavy-duty CI manhole cover with frame 20" x 20"</v>
      </c>
      <c r="O270" s="12" t="n">
        <v>2</v>
      </c>
      <c r="P270" s="14" t="str">
        <f aca="false">IFERROR(INDEX(Rates!$C$5:$C$84,MATCH(M270,Rates!$A$5:$A$84,0)),"")</f>
        <v>nos</v>
      </c>
      <c r="Q270" s="15" t="n">
        <f aca="false">IFERROR(INDEX(Rates!$D$5:$D$84,MATCH(M270,Rates!$A$5:$A$84,0)),0)</f>
        <v>0</v>
      </c>
      <c r="R270" s="12" t="n">
        <f aca="false">O270*(1+Q270)</f>
        <v>2</v>
      </c>
      <c r="S270" s="16" t="n">
        <f aca="false">IFERROR(INDEX(Rates!$E$5:$E$84,MATCH(M270,Rates!$A$5:$A$84,0)),0)</f>
        <v>15000</v>
      </c>
      <c r="T270" s="7" t="n">
        <f aca="false">R270*S270</f>
        <v>30000</v>
      </c>
      <c r="U270" s="17" t="str">
        <f aca="false">IF(M270="BRK",R270/2000,IF(OR(M270="SNDC",M270="SNDM",M270="CRS",M270="KHG",M270="EARTH"),R270/100,""))</f>
        <v/>
      </c>
    </row>
    <row r="271" customFormat="false" ht="32.8" hidden="false" customHeight="false" outlineLevel="0" collapsed="false">
      <c r="A271" s="6" t="s">
        <v>714</v>
      </c>
      <c r="B271" s="6" t="s">
        <v>715</v>
      </c>
      <c r="C271" s="6" t="s">
        <v>753</v>
      </c>
      <c r="D271" s="9" t="s">
        <v>754</v>
      </c>
      <c r="E271" s="9" t="s">
        <v>755</v>
      </c>
      <c r="F271" s="9"/>
      <c r="G271" s="9" t="s">
        <v>756</v>
      </c>
      <c r="H271" s="12" t="n">
        <v>155.905</v>
      </c>
      <c r="I271" s="6" t="s">
        <v>118</v>
      </c>
      <c r="J271" s="6" t="s">
        <v>721</v>
      </c>
      <c r="K271" s="6"/>
      <c r="L271" s="6"/>
      <c r="M271" s="6" t="s">
        <v>132</v>
      </c>
      <c r="N271" s="13" t="str">
        <f aca="false">IFERROR(INDEX(Rates!$B$5:$B$84,MATCH(M271,Rates!$A$5:$A$84,0)),"")</f>
        <v>UPVC sewer pipe 5" (Dadex / Beta)</v>
      </c>
      <c r="O271" s="12" t="n">
        <v>155.905</v>
      </c>
      <c r="P271" s="14" t="str">
        <f aca="false">IFERROR(INDEX(Rates!$C$5:$C$84,MATCH(M271,Rates!$A$5:$A$84,0)),"")</f>
        <v>ft</v>
      </c>
      <c r="Q271" s="15" t="n">
        <f aca="false">IFERROR(INDEX(Rates!$D$5:$D$84,MATCH(M271,Rates!$A$5:$A$84,0)),0)</f>
        <v>0.07</v>
      </c>
      <c r="R271" s="12" t="n">
        <f aca="false">O271*(1+Q271)</f>
        <v>166.81835</v>
      </c>
      <c r="S271" s="16" t="n">
        <f aca="false">IFERROR(INDEX(Rates!$E$5:$E$84,MATCH(M271,Rates!$A$5:$A$84,0)),0)</f>
        <v>420</v>
      </c>
      <c r="T271" s="7" t="n">
        <f aca="false">R271*S271</f>
        <v>70063.707</v>
      </c>
      <c r="U271" s="17" t="str">
        <f aca="false">IF(M271="BRK",R271/2000,IF(OR(M271="SNDC",M271="SNDM",M271="CRS",M271="KHG",M271="EARTH"),R271/100,""))</f>
        <v/>
      </c>
    </row>
    <row r="272" customFormat="false" ht="32.8" hidden="false" customHeight="false" outlineLevel="0" collapsed="false">
      <c r="A272" s="6" t="s">
        <v>714</v>
      </c>
      <c r="B272" s="6" t="s">
        <v>715</v>
      </c>
      <c r="C272" s="6" t="s">
        <v>757</v>
      </c>
      <c r="D272" s="9" t="s">
        <v>754</v>
      </c>
      <c r="E272" s="9" t="s">
        <v>758</v>
      </c>
      <c r="F272" s="9"/>
      <c r="G272" s="9" t="s">
        <v>759</v>
      </c>
      <c r="H272" s="12" t="n">
        <v>127.847</v>
      </c>
      <c r="I272" s="6" t="s">
        <v>118</v>
      </c>
      <c r="J272" s="6" t="s">
        <v>721</v>
      </c>
      <c r="K272" s="6"/>
      <c r="L272" s="6"/>
      <c r="M272" s="6" t="s">
        <v>136</v>
      </c>
      <c r="N272" s="13" t="str">
        <f aca="false">IFERROR(INDEX(Rates!$B$5:$B$84,MATCH(M272,Rates!$A$5:$A$84,0)),"")</f>
        <v>UPVC sewer pipe 4"</v>
      </c>
      <c r="O272" s="12" t="n">
        <v>127.8472</v>
      </c>
      <c r="P272" s="14" t="str">
        <f aca="false">IFERROR(INDEX(Rates!$C$5:$C$84,MATCH(M272,Rates!$A$5:$A$84,0)),"")</f>
        <v>ft</v>
      </c>
      <c r="Q272" s="15" t="n">
        <f aca="false">IFERROR(INDEX(Rates!$D$5:$D$84,MATCH(M272,Rates!$A$5:$A$84,0)),0)</f>
        <v>0.07</v>
      </c>
      <c r="R272" s="12" t="n">
        <f aca="false">O272*(1+Q272)</f>
        <v>136.796504</v>
      </c>
      <c r="S272" s="16" t="n">
        <f aca="false">IFERROR(INDEX(Rates!$E$5:$E$84,MATCH(M272,Rates!$A$5:$A$84,0)),0)</f>
        <v>300</v>
      </c>
      <c r="T272" s="7" t="n">
        <f aca="false">R272*S272</f>
        <v>41038.9512</v>
      </c>
      <c r="U272" s="17" t="str">
        <f aca="false">IF(M272="BRK",R272/2000,IF(OR(M272="SNDC",M272="SNDM",M272="CRS",M272="KHG",M272="EARTH"),R272/100,""))</f>
        <v/>
      </c>
    </row>
    <row r="273" customFormat="false" ht="22.35" hidden="false" customHeight="false" outlineLevel="0" collapsed="false">
      <c r="A273" s="6" t="s">
        <v>714</v>
      </c>
      <c r="B273" s="6" t="s">
        <v>715</v>
      </c>
      <c r="C273" s="6" t="s">
        <v>760</v>
      </c>
      <c r="D273" s="9" t="s">
        <v>754</v>
      </c>
      <c r="E273" s="9" t="s">
        <v>761</v>
      </c>
      <c r="F273" s="9"/>
      <c r="G273" s="9" t="s">
        <v>759</v>
      </c>
      <c r="H273" s="12" t="n">
        <v>218.082</v>
      </c>
      <c r="I273" s="6" t="s">
        <v>118</v>
      </c>
      <c r="J273" s="6" t="s">
        <v>721</v>
      </c>
      <c r="K273" s="6"/>
      <c r="L273" s="6"/>
      <c r="M273" s="6" t="s">
        <v>138</v>
      </c>
      <c r="N273" s="13" t="str">
        <f aca="false">IFERROR(INDEX(Rates!$B$5:$B$84,MATCH(M273,Rates!$A$5:$A$84,0)),"")</f>
        <v>UPVC pipe 3" (waste / vent)</v>
      </c>
      <c r="O273" s="12" t="n">
        <v>218.0824</v>
      </c>
      <c r="P273" s="14" t="str">
        <f aca="false">IFERROR(INDEX(Rates!$C$5:$C$84,MATCH(M273,Rates!$A$5:$A$84,0)),"")</f>
        <v>ft</v>
      </c>
      <c r="Q273" s="15" t="n">
        <f aca="false">IFERROR(INDEX(Rates!$D$5:$D$84,MATCH(M273,Rates!$A$5:$A$84,0)),0)</f>
        <v>0.07</v>
      </c>
      <c r="R273" s="12" t="n">
        <f aca="false">O273*(1+Q273)</f>
        <v>233.348168</v>
      </c>
      <c r="S273" s="16" t="n">
        <f aca="false">IFERROR(INDEX(Rates!$E$5:$E$84,MATCH(M273,Rates!$A$5:$A$84,0)),0)</f>
        <v>200</v>
      </c>
      <c r="T273" s="7" t="n">
        <f aca="false">R273*S273</f>
        <v>46669.6336</v>
      </c>
      <c r="U273" s="17" t="str">
        <f aca="false">IF(M273="BRK",R273/2000,IF(OR(M273="SNDC",M273="SNDM",M273="CRS",M273="KHG",M273="EARTH"),R273/100,""))</f>
        <v/>
      </c>
    </row>
    <row r="274" customFormat="false" ht="22.35" hidden="false" customHeight="false" outlineLevel="0" collapsed="false">
      <c r="A274" s="6" t="s">
        <v>714</v>
      </c>
      <c r="B274" s="6" t="s">
        <v>715</v>
      </c>
      <c r="C274" s="6" t="s">
        <v>762</v>
      </c>
      <c r="D274" s="9" t="s">
        <v>754</v>
      </c>
      <c r="E274" s="9" t="s">
        <v>763</v>
      </c>
      <c r="F274" s="9"/>
      <c r="G274" s="9" t="s">
        <v>764</v>
      </c>
      <c r="H274" s="12" t="n">
        <v>112</v>
      </c>
      <c r="I274" s="6" t="s">
        <v>118</v>
      </c>
      <c r="J274" s="6" t="s">
        <v>721</v>
      </c>
      <c r="K274" s="6"/>
      <c r="L274" s="6"/>
      <c r="M274" s="6" t="s">
        <v>140</v>
      </c>
      <c r="N274" s="13" t="str">
        <f aca="false">IFERROR(INDEX(Rates!$B$5:$B$84,MATCH(M274,Rates!$A$5:$A$84,0)),"")</f>
        <v>UPVC rain-water pipe 3"</v>
      </c>
      <c r="O274" s="12" t="n">
        <v>112</v>
      </c>
      <c r="P274" s="14" t="str">
        <f aca="false">IFERROR(INDEX(Rates!$C$5:$C$84,MATCH(M274,Rates!$A$5:$A$84,0)),"")</f>
        <v>ft</v>
      </c>
      <c r="Q274" s="15" t="n">
        <f aca="false">IFERROR(INDEX(Rates!$D$5:$D$84,MATCH(M274,Rates!$A$5:$A$84,0)),0)</f>
        <v>0.07</v>
      </c>
      <c r="R274" s="12" t="n">
        <f aca="false">O274*(1+Q274)</f>
        <v>119.84</v>
      </c>
      <c r="S274" s="16" t="n">
        <f aca="false">IFERROR(INDEX(Rates!$E$5:$E$84,MATCH(M274,Rates!$A$5:$A$84,0)),0)</f>
        <v>200</v>
      </c>
      <c r="T274" s="7" t="n">
        <f aca="false">R274*S274</f>
        <v>23968</v>
      </c>
      <c r="U274" s="17" t="str">
        <f aca="false">IF(M274="BRK",R274/2000,IF(OR(M274="SNDC",M274="SNDM",M274="CRS",M274="KHG",M274="EARTH"),R274/100,""))</f>
        <v/>
      </c>
    </row>
    <row r="275" customFormat="false" ht="43.25" hidden="false" customHeight="false" outlineLevel="0" collapsed="false">
      <c r="A275" s="6" t="s">
        <v>714</v>
      </c>
      <c r="B275" s="6" t="s">
        <v>715</v>
      </c>
      <c r="C275" s="6" t="s">
        <v>765</v>
      </c>
      <c r="D275" s="9" t="s">
        <v>766</v>
      </c>
      <c r="E275" s="9" t="s">
        <v>767</v>
      </c>
      <c r="F275" s="9"/>
      <c r="G275" s="9" t="s">
        <v>768</v>
      </c>
      <c r="H275" s="12" t="n">
        <v>177</v>
      </c>
      <c r="I275" s="6" t="s">
        <v>45</v>
      </c>
      <c r="J275" s="6" t="s">
        <v>721</v>
      </c>
      <c r="K275" s="6"/>
      <c r="L275" s="6"/>
      <c r="M275" s="6" t="s">
        <v>142</v>
      </c>
      <c r="N275" s="13" t="str">
        <f aca="false">IFERROR(INDEX(Rates!$B$5:$B$84,MATCH(M275,Rates!$A$5:$A$84,0)),"")</f>
        <v>UPVC fittings 5" (bends, tees, sockets)</v>
      </c>
      <c r="O275" s="12" t="n">
        <v>23</v>
      </c>
      <c r="P275" s="14" t="str">
        <f aca="false">IFERROR(INDEX(Rates!$C$5:$C$84,MATCH(M275,Rates!$A$5:$A$84,0)),"")</f>
        <v>nos</v>
      </c>
      <c r="Q275" s="15" t="n">
        <f aca="false">IFERROR(INDEX(Rates!$D$5:$D$84,MATCH(M275,Rates!$A$5:$A$84,0)),0)</f>
        <v>0</v>
      </c>
      <c r="R275" s="12" t="n">
        <f aca="false">O275*(1+Q275)</f>
        <v>23</v>
      </c>
      <c r="S275" s="16" t="n">
        <f aca="false">IFERROR(INDEX(Rates!$E$5:$E$84,MATCH(M275,Rates!$A$5:$A$84,0)),0)</f>
        <v>950</v>
      </c>
      <c r="T275" s="7" t="n">
        <f aca="false">R275*S275</f>
        <v>21850</v>
      </c>
      <c r="U275" s="17" t="str">
        <f aca="false">IF(M275="BRK",R275/2000,IF(OR(M275="SNDC",M275="SNDM",M275="CRS",M275="KHG",M275="EARTH"),R275/100,""))</f>
        <v/>
      </c>
    </row>
    <row r="276" customFormat="false" ht="15" hidden="false" customHeight="false" outlineLevel="0" collapsed="false">
      <c r="A276" s="6" t="s">
        <v>714</v>
      </c>
      <c r="B276" s="6" t="s">
        <v>715</v>
      </c>
      <c r="C276" s="6" t="s">
        <v>765</v>
      </c>
      <c r="D276" s="9"/>
      <c r="E276" s="9"/>
      <c r="F276" s="9"/>
      <c r="G276" s="9"/>
      <c r="H276" s="12"/>
      <c r="I276" s="6"/>
      <c r="J276" s="6" t="s">
        <v>721</v>
      </c>
      <c r="K276" s="6"/>
      <c r="L276" s="6"/>
      <c r="M276" s="6" t="s">
        <v>144</v>
      </c>
      <c r="N276" s="13" t="str">
        <f aca="false">IFERROR(INDEX(Rates!$B$5:$B$84,MATCH(M276,Rates!$A$5:$A$84,0)),"")</f>
        <v>UPVC fittings 4"</v>
      </c>
      <c r="O276" s="12" t="n">
        <v>54</v>
      </c>
      <c r="P276" s="14" t="str">
        <f aca="false">IFERROR(INDEX(Rates!$C$5:$C$84,MATCH(M276,Rates!$A$5:$A$84,0)),"")</f>
        <v>nos</v>
      </c>
      <c r="Q276" s="15" t="n">
        <f aca="false">IFERROR(INDEX(Rates!$D$5:$D$84,MATCH(M276,Rates!$A$5:$A$84,0)),0)</f>
        <v>0</v>
      </c>
      <c r="R276" s="12" t="n">
        <f aca="false">O276*(1+Q276)</f>
        <v>54</v>
      </c>
      <c r="S276" s="16" t="n">
        <f aca="false">IFERROR(INDEX(Rates!$E$5:$E$84,MATCH(M276,Rates!$A$5:$A$84,0)),0)</f>
        <v>600</v>
      </c>
      <c r="T276" s="7" t="n">
        <f aca="false">R276*S276</f>
        <v>32400</v>
      </c>
      <c r="U276" s="17" t="str">
        <f aca="false">IF(M276="BRK",R276/2000,IF(OR(M276="SNDC",M276="SNDM",M276="CRS",M276="KHG",M276="EARTH"),R276/100,""))</f>
        <v/>
      </c>
    </row>
    <row r="277" customFormat="false" ht="22.35" hidden="false" customHeight="false" outlineLevel="0" collapsed="false">
      <c r="A277" s="6" t="s">
        <v>714</v>
      </c>
      <c r="B277" s="6" t="s">
        <v>715</v>
      </c>
      <c r="C277" s="6" t="s">
        <v>765</v>
      </c>
      <c r="D277" s="9"/>
      <c r="E277" s="9"/>
      <c r="F277" s="9"/>
      <c r="G277" s="9"/>
      <c r="H277" s="12"/>
      <c r="I277" s="6"/>
      <c r="J277" s="6" t="s">
        <v>721</v>
      </c>
      <c r="K277" s="6"/>
      <c r="L277" s="6"/>
      <c r="M277" s="6" t="s">
        <v>146</v>
      </c>
      <c r="N277" s="13" t="str">
        <f aca="false">IFERROR(INDEX(Rates!$B$5:$B$84,MATCH(M277,Rates!$A$5:$A$84,0)),"")</f>
        <v>UPVC fittings 3" incl. floor / gully traps, roof outlets</v>
      </c>
      <c r="O277" s="12" t="n">
        <v>100</v>
      </c>
      <c r="P277" s="14" t="str">
        <f aca="false">IFERROR(INDEX(Rates!$C$5:$C$84,MATCH(M277,Rates!$A$5:$A$84,0)),"")</f>
        <v>nos</v>
      </c>
      <c r="Q277" s="15" t="n">
        <f aca="false">IFERROR(INDEX(Rates!$D$5:$D$84,MATCH(M277,Rates!$A$5:$A$84,0)),0)</f>
        <v>0</v>
      </c>
      <c r="R277" s="12" t="n">
        <f aca="false">O277*(1+Q277)</f>
        <v>100</v>
      </c>
      <c r="S277" s="16" t="n">
        <f aca="false">IFERROR(INDEX(Rates!$E$5:$E$84,MATCH(M277,Rates!$A$5:$A$84,0)),0)</f>
        <v>380</v>
      </c>
      <c r="T277" s="7" t="n">
        <f aca="false">R277*S277</f>
        <v>38000</v>
      </c>
      <c r="U277" s="17" t="str">
        <f aca="false">IF(M277="BRK",R277/2000,IF(OR(M277="SNDC",M277="SNDM",M277="CRS",M277="KHG",M277="EARTH"),R277/100,""))</f>
        <v/>
      </c>
    </row>
    <row r="278" customFormat="false" ht="32.8" hidden="false" customHeight="false" outlineLevel="0" collapsed="false">
      <c r="A278" s="6" t="s">
        <v>714</v>
      </c>
      <c r="B278" s="6" t="s">
        <v>715</v>
      </c>
      <c r="C278" s="6" t="s">
        <v>769</v>
      </c>
      <c r="D278" s="9" t="s">
        <v>770</v>
      </c>
      <c r="E278" s="9" t="s">
        <v>771</v>
      </c>
      <c r="F278" s="9" t="s">
        <v>772</v>
      </c>
      <c r="G278" s="9" t="s">
        <v>773</v>
      </c>
      <c r="H278" s="12" t="n">
        <v>200</v>
      </c>
      <c r="I278" s="6" t="s">
        <v>118</v>
      </c>
      <c r="J278" s="6" t="s">
        <v>774</v>
      </c>
      <c r="K278" s="6"/>
      <c r="L278" s="6"/>
      <c r="M278" s="6" t="s">
        <v>155</v>
      </c>
      <c r="N278" s="13" t="str">
        <f aca="false">IFERROR(INDEX(Rates!$B$5:$B$84,MATCH(M278,Rates!$A$5:$A$84,0)),"")</f>
        <v>PVC drain pipe ¾" (20 mm) for A.C condensate</v>
      </c>
      <c r="O278" s="12" t="n">
        <v>200</v>
      </c>
      <c r="P278" s="14" t="str">
        <f aca="false">IFERROR(INDEX(Rates!$C$5:$C$84,MATCH(M278,Rates!$A$5:$A$84,0)),"")</f>
        <v>ft</v>
      </c>
      <c r="Q278" s="15" t="n">
        <f aca="false">IFERROR(INDEX(Rates!$D$5:$D$84,MATCH(M278,Rates!$A$5:$A$84,0)),0)</f>
        <v>0.07</v>
      </c>
      <c r="R278" s="12" t="n">
        <f aca="false">O278*(1+Q278)</f>
        <v>214</v>
      </c>
      <c r="S278" s="16" t="n">
        <f aca="false">IFERROR(INDEX(Rates!$E$5:$E$84,MATCH(M278,Rates!$A$5:$A$84,0)),0)</f>
        <v>35</v>
      </c>
      <c r="T278" s="7" t="n">
        <f aca="false">R278*S278</f>
        <v>7490</v>
      </c>
      <c r="U278" s="17" t="str">
        <f aca="false">IF(M278="BRK",R278/2000,IF(OR(M278="SNDC",M278="SNDM",M278="CRS",M278="KHG",M278="EARTH"),R278/100,""))</f>
        <v/>
      </c>
    </row>
    <row r="279" customFormat="false" ht="22.35" hidden="false" customHeight="false" outlineLevel="0" collapsed="false">
      <c r="A279" s="6" t="s">
        <v>714</v>
      </c>
      <c r="B279" s="6" t="s">
        <v>715</v>
      </c>
      <c r="C279" s="6" t="s">
        <v>769</v>
      </c>
      <c r="D279" s="9"/>
      <c r="E279" s="9"/>
      <c r="F279" s="9"/>
      <c r="G279" s="9"/>
      <c r="H279" s="12"/>
      <c r="I279" s="6"/>
      <c r="J279" s="6" t="s">
        <v>774</v>
      </c>
      <c r="K279" s="6"/>
      <c r="L279" s="6"/>
      <c r="M279" s="6" t="s">
        <v>158</v>
      </c>
      <c r="N279" s="13" t="str">
        <f aca="false">IFERROR(INDEX(Rates!$B$5:$B$84,MATCH(M279,Rates!$A$5:$A$84,0)),"")</f>
        <v>Stainless-steel mesh cap for A.C drain outlet</v>
      </c>
      <c r="O279" s="12" t="n">
        <v>10</v>
      </c>
      <c r="P279" s="14" t="str">
        <f aca="false">IFERROR(INDEX(Rates!$C$5:$C$84,MATCH(M279,Rates!$A$5:$A$84,0)),"")</f>
        <v>nos</v>
      </c>
      <c r="Q279" s="15" t="n">
        <f aca="false">IFERROR(INDEX(Rates!$D$5:$D$84,MATCH(M279,Rates!$A$5:$A$84,0)),0)</f>
        <v>0</v>
      </c>
      <c r="R279" s="12" t="n">
        <f aca="false">O279*(1+Q279)</f>
        <v>10</v>
      </c>
      <c r="S279" s="16" t="n">
        <f aca="false">IFERROR(INDEX(Rates!$E$5:$E$84,MATCH(M279,Rates!$A$5:$A$84,0)),0)</f>
        <v>350</v>
      </c>
      <c r="T279" s="7" t="n">
        <f aca="false">R279*S279</f>
        <v>3500</v>
      </c>
      <c r="U279" s="17" t="str">
        <f aca="false">IF(M279="BRK",R279/2000,IF(OR(M279="SNDC",M279="SNDM",M279="CRS",M279="KHG",M279="EARTH"),R279/100,""))</f>
        <v/>
      </c>
    </row>
    <row r="280" customFormat="false" ht="22.35" hidden="false" customHeight="false" outlineLevel="0" collapsed="false">
      <c r="A280" s="6" t="s">
        <v>775</v>
      </c>
      <c r="B280" s="6" t="s">
        <v>776</v>
      </c>
      <c r="C280" s="6" t="s">
        <v>777</v>
      </c>
      <c r="D280" s="9" t="s">
        <v>778</v>
      </c>
      <c r="E280" s="9" t="s">
        <v>779</v>
      </c>
      <c r="F280" s="9" t="s">
        <v>780</v>
      </c>
      <c r="G280" s="9" t="s">
        <v>781</v>
      </c>
      <c r="H280" s="12" t="n">
        <v>258.613</v>
      </c>
      <c r="I280" s="6" t="s">
        <v>71</v>
      </c>
      <c r="J280" s="6" t="s">
        <v>782</v>
      </c>
      <c r="K280" s="6"/>
      <c r="L280" s="6" t="s">
        <v>297</v>
      </c>
      <c r="M280" s="6"/>
      <c r="N280" s="13"/>
      <c r="O280" s="12"/>
      <c r="P280" s="14"/>
      <c r="Q280" s="15"/>
      <c r="R280" s="12"/>
      <c r="S280" s="16"/>
      <c r="T280" s="7" t="n">
        <v>0</v>
      </c>
      <c r="U280" s="17"/>
    </row>
    <row r="281" customFormat="false" ht="22.35" hidden="false" customHeight="false" outlineLevel="0" collapsed="false">
      <c r="A281" s="6" t="s">
        <v>775</v>
      </c>
      <c r="B281" s="6" t="s">
        <v>776</v>
      </c>
      <c r="C281" s="6" t="s">
        <v>783</v>
      </c>
      <c r="D281" s="9" t="s">
        <v>776</v>
      </c>
      <c r="E281" s="9" t="s">
        <v>784</v>
      </c>
      <c r="F281" s="9" t="s">
        <v>785</v>
      </c>
      <c r="G281" s="9"/>
      <c r="H281" s="12" t="n">
        <v>10.847</v>
      </c>
      <c r="I281" s="6" t="s">
        <v>71</v>
      </c>
      <c r="J281" s="6" t="s">
        <v>782</v>
      </c>
      <c r="K281" s="6"/>
      <c r="L281" s="6"/>
      <c r="M281" s="6" t="s">
        <v>37</v>
      </c>
      <c r="N281" s="13" t="str">
        <f aca="false">IFERROR(INDEX(Rates!$B$5:$B$84,MATCH(M281,Rates!$A$5:$A$84,0)),"")</f>
        <v>Cement OPC, 50 kg bag (Lucky / Bestway / Maple Leaf)</v>
      </c>
      <c r="O281" s="12" t="n">
        <v>1.048</v>
      </c>
      <c r="P281" s="14" t="str">
        <f aca="false">IFERROR(INDEX(Rates!$C$5:$C$84,MATCH(M281,Rates!$A$5:$A$84,0)),"")</f>
        <v>bag</v>
      </c>
      <c r="Q281" s="15" t="n">
        <f aca="false">IFERROR(INDEX(Rates!$D$5:$D$84,MATCH(M281,Rates!$A$5:$A$84,0)),0)</f>
        <v>0.03</v>
      </c>
      <c r="R281" s="12" t="n">
        <f aca="false">O281*(1+Q281)</f>
        <v>1.07944</v>
      </c>
      <c r="S281" s="16" t="n">
        <f aca="false">IFERROR(INDEX(Rates!$E$5:$E$84,MATCH(M281,Rates!$A$5:$A$84,0)),0)</f>
        <v>1560</v>
      </c>
      <c r="T281" s="7" t="n">
        <f aca="false">R281*S281</f>
        <v>1683.9264</v>
      </c>
      <c r="U281" s="17" t="str">
        <f aca="false">IF(M281="BRK",R281/2000,IF(OR(M281="SNDC",M281="SNDM",M281="CRS",M281="KHG",M281="EARTH"),R281/100,""))</f>
        <v/>
      </c>
    </row>
    <row r="282" customFormat="false" ht="15" hidden="false" customHeight="false" outlineLevel="0" collapsed="false">
      <c r="A282" s="6" t="s">
        <v>775</v>
      </c>
      <c r="B282" s="6" t="s">
        <v>776</v>
      </c>
      <c r="C282" s="6" t="s">
        <v>783</v>
      </c>
      <c r="D282" s="9"/>
      <c r="E282" s="9"/>
      <c r="F282" s="9"/>
      <c r="G282" s="9"/>
      <c r="H282" s="12"/>
      <c r="I282" s="6"/>
      <c r="J282" s="6" t="s">
        <v>782</v>
      </c>
      <c r="K282" s="6"/>
      <c r="L282" s="6"/>
      <c r="M282" s="6" t="s">
        <v>69</v>
      </c>
      <c r="N282" s="13" t="str">
        <f aca="false">IFERROR(INDEX(Rates!$B$5:$B$84,MATCH(M282,Rates!$A$5:$A$84,0)),"")</f>
        <v>Chenab sand (concrete, screed)</v>
      </c>
      <c r="O282" s="12" t="n">
        <v>5.2401</v>
      </c>
      <c r="P282" s="14" t="str">
        <f aca="false">IFERROR(INDEX(Rates!$C$5:$C$84,MATCH(M282,Rates!$A$5:$A$84,0)),"")</f>
        <v>cft</v>
      </c>
      <c r="Q282" s="15" t="n">
        <f aca="false">IFERROR(INDEX(Rates!$D$5:$D$84,MATCH(M282,Rates!$A$5:$A$84,0)),0)</f>
        <v>0.08</v>
      </c>
      <c r="R282" s="12" t="n">
        <f aca="false">O282*(1+Q282)</f>
        <v>5.659308</v>
      </c>
      <c r="S282" s="16" t="n">
        <f aca="false">IFERROR(INDEX(Rates!$E$5:$E$84,MATCH(M282,Rates!$A$5:$A$84,0)),0)</f>
        <v>65</v>
      </c>
      <c r="T282" s="7" t="n">
        <f aca="false">R282*S282</f>
        <v>367.85502</v>
      </c>
      <c r="U282" s="17" t="n">
        <f aca="false">IF(M282="BRK",R282/2000,IF(OR(M282="SNDC",M282="SNDM",M282="CRS",M282="KHG",M282="EARTH"),R282/100,""))</f>
        <v>0.05659308</v>
      </c>
    </row>
    <row r="283" customFormat="false" ht="15" hidden="false" customHeight="false" outlineLevel="0" collapsed="false">
      <c r="A283" s="6" t="s">
        <v>775</v>
      </c>
      <c r="B283" s="6" t="s">
        <v>776</v>
      </c>
      <c r="C283" s="6" t="s">
        <v>783</v>
      </c>
      <c r="D283" s="9"/>
      <c r="E283" s="9"/>
      <c r="F283" s="9"/>
      <c r="G283" s="9"/>
      <c r="H283" s="12"/>
      <c r="I283" s="6"/>
      <c r="J283" s="6" t="s">
        <v>782</v>
      </c>
      <c r="K283" s="6"/>
      <c r="L283" s="6"/>
      <c r="M283" s="6" t="s">
        <v>79</v>
      </c>
      <c r="N283" s="13" t="str">
        <f aca="false">IFERROR(INDEX(Rates!$B$5:$B$84,MATCH(M283,Rates!$A$5:$A$84,0)),"")</f>
        <v>Crush ¾" down, Sargodha (bajri)</v>
      </c>
      <c r="O283" s="12" t="n">
        <v>10.4802</v>
      </c>
      <c r="P283" s="14" t="str">
        <f aca="false">IFERROR(INDEX(Rates!$C$5:$C$84,MATCH(M283,Rates!$A$5:$A$84,0)),"")</f>
        <v>cft</v>
      </c>
      <c r="Q283" s="15" t="n">
        <f aca="false">IFERROR(INDEX(Rates!$D$5:$D$84,MATCH(M283,Rates!$A$5:$A$84,0)),0)</f>
        <v>0.05</v>
      </c>
      <c r="R283" s="12" t="n">
        <f aca="false">O283*(1+Q283)</f>
        <v>11.00421</v>
      </c>
      <c r="S283" s="16" t="n">
        <f aca="false">IFERROR(INDEX(Rates!$E$5:$E$84,MATCH(M283,Rates!$A$5:$A$84,0)),0)</f>
        <v>110</v>
      </c>
      <c r="T283" s="7" t="n">
        <f aca="false">R283*S283</f>
        <v>1210.4631</v>
      </c>
      <c r="U283" s="17" t="n">
        <f aca="false">IF(M283="BRK",R283/2000,IF(OR(M283="SNDC",M283="SNDM",M283="CRS",M283="KHG",M283="EARTH"),R283/100,""))</f>
        <v>0.1100421</v>
      </c>
    </row>
    <row r="284" customFormat="false" ht="22.35" hidden="false" customHeight="false" outlineLevel="0" collapsed="false">
      <c r="A284" s="6" t="s">
        <v>775</v>
      </c>
      <c r="B284" s="6" t="s">
        <v>776</v>
      </c>
      <c r="C284" s="6" t="s">
        <v>786</v>
      </c>
      <c r="D284" s="9" t="s">
        <v>776</v>
      </c>
      <c r="E284" s="9" t="s">
        <v>787</v>
      </c>
      <c r="F284" s="9" t="s">
        <v>788</v>
      </c>
      <c r="G284" s="9" t="s">
        <v>789</v>
      </c>
      <c r="H284" s="12" t="n">
        <v>18.507</v>
      </c>
      <c r="I284" s="6" t="s">
        <v>71</v>
      </c>
      <c r="J284" s="6" t="s">
        <v>782</v>
      </c>
      <c r="K284" s="6" t="s">
        <v>776</v>
      </c>
      <c r="L284" s="6"/>
      <c r="M284" s="6" t="s">
        <v>37</v>
      </c>
      <c r="N284" s="13" t="str">
        <f aca="false">IFERROR(INDEX(Rates!$B$5:$B$84,MATCH(M284,Rates!$A$5:$A$84,0)),"")</f>
        <v>Cement OPC, 50 kg bag (Lucky / Bestway / Maple Leaf)</v>
      </c>
      <c r="O284" s="12" t="n">
        <v>3.3207</v>
      </c>
      <c r="P284" s="14" t="str">
        <f aca="false">IFERROR(INDEX(Rates!$C$5:$C$84,MATCH(M284,Rates!$A$5:$A$84,0)),"")</f>
        <v>bag</v>
      </c>
      <c r="Q284" s="15" t="n">
        <f aca="false">IFERROR(INDEX(Rates!$D$5:$D$84,MATCH(M284,Rates!$A$5:$A$84,0)),0)</f>
        <v>0.03</v>
      </c>
      <c r="R284" s="12" t="n">
        <f aca="false">O284*(1+Q284)</f>
        <v>3.420321</v>
      </c>
      <c r="S284" s="16" t="n">
        <f aca="false">IFERROR(INDEX(Rates!$E$5:$E$84,MATCH(M284,Rates!$A$5:$A$84,0)),0)</f>
        <v>1560</v>
      </c>
      <c r="T284" s="7" t="n">
        <f aca="false">R284*S284</f>
        <v>5335.70076</v>
      </c>
      <c r="U284" s="17" t="str">
        <f aca="false">IF(M284="BRK",R284/2000,IF(OR(M284="SNDC",M284="SNDM",M284="CRS",M284="KHG",M284="EARTH"),R284/100,""))</f>
        <v/>
      </c>
    </row>
    <row r="285" customFormat="false" ht="15" hidden="false" customHeight="false" outlineLevel="0" collapsed="false">
      <c r="A285" s="6" t="s">
        <v>775</v>
      </c>
      <c r="B285" s="6" t="s">
        <v>776</v>
      </c>
      <c r="C285" s="6" t="s">
        <v>786</v>
      </c>
      <c r="D285" s="9"/>
      <c r="E285" s="9"/>
      <c r="F285" s="9"/>
      <c r="G285" s="9"/>
      <c r="H285" s="12"/>
      <c r="I285" s="6"/>
      <c r="J285" s="6" t="s">
        <v>782</v>
      </c>
      <c r="K285" s="6" t="s">
        <v>776</v>
      </c>
      <c r="L285" s="6"/>
      <c r="M285" s="6" t="s">
        <v>69</v>
      </c>
      <c r="N285" s="13" t="str">
        <f aca="false">IFERROR(INDEX(Rates!$B$5:$B$84,MATCH(M285,Rates!$A$5:$A$84,0)),"")</f>
        <v>Chenab sand (concrete, screed)</v>
      </c>
      <c r="O285" s="12" t="n">
        <v>8.3018</v>
      </c>
      <c r="P285" s="14" t="str">
        <f aca="false">IFERROR(INDEX(Rates!$C$5:$C$84,MATCH(M285,Rates!$A$5:$A$84,0)),"")</f>
        <v>cft</v>
      </c>
      <c r="Q285" s="15" t="n">
        <f aca="false">IFERROR(INDEX(Rates!$D$5:$D$84,MATCH(M285,Rates!$A$5:$A$84,0)),0)</f>
        <v>0.08</v>
      </c>
      <c r="R285" s="12" t="n">
        <f aca="false">O285*(1+Q285)</f>
        <v>8.965944</v>
      </c>
      <c r="S285" s="16" t="n">
        <f aca="false">IFERROR(INDEX(Rates!$E$5:$E$84,MATCH(M285,Rates!$A$5:$A$84,0)),0)</f>
        <v>65</v>
      </c>
      <c r="T285" s="7" t="n">
        <f aca="false">R285*S285</f>
        <v>582.78636</v>
      </c>
      <c r="U285" s="17" t="n">
        <f aca="false">IF(M285="BRK",R285/2000,IF(OR(M285="SNDC",M285="SNDM",M285="CRS",M285="KHG",M285="EARTH"),R285/100,""))</f>
        <v>0.08965944</v>
      </c>
    </row>
    <row r="286" customFormat="false" ht="15" hidden="false" customHeight="false" outlineLevel="0" collapsed="false">
      <c r="A286" s="6" t="s">
        <v>775</v>
      </c>
      <c r="B286" s="6" t="s">
        <v>776</v>
      </c>
      <c r="C286" s="6" t="s">
        <v>786</v>
      </c>
      <c r="D286" s="9"/>
      <c r="E286" s="9"/>
      <c r="F286" s="9"/>
      <c r="G286" s="9"/>
      <c r="H286" s="12"/>
      <c r="I286" s="6"/>
      <c r="J286" s="6" t="s">
        <v>782</v>
      </c>
      <c r="K286" s="6" t="s">
        <v>776</v>
      </c>
      <c r="L286" s="6"/>
      <c r="M286" s="6" t="s">
        <v>79</v>
      </c>
      <c r="N286" s="13" t="str">
        <f aca="false">IFERROR(INDEX(Rates!$B$5:$B$84,MATCH(M286,Rates!$A$5:$A$84,0)),"")</f>
        <v>Crush ¾" down, Sargodha (bajri)</v>
      </c>
      <c r="O286" s="12" t="n">
        <v>16.6036</v>
      </c>
      <c r="P286" s="14" t="str">
        <f aca="false">IFERROR(INDEX(Rates!$C$5:$C$84,MATCH(M286,Rates!$A$5:$A$84,0)),"")</f>
        <v>cft</v>
      </c>
      <c r="Q286" s="15" t="n">
        <f aca="false">IFERROR(INDEX(Rates!$D$5:$D$84,MATCH(M286,Rates!$A$5:$A$84,0)),0)</f>
        <v>0.05</v>
      </c>
      <c r="R286" s="12" t="n">
        <f aca="false">O286*(1+Q286)</f>
        <v>17.43378</v>
      </c>
      <c r="S286" s="16" t="n">
        <f aca="false">IFERROR(INDEX(Rates!$E$5:$E$84,MATCH(M286,Rates!$A$5:$A$84,0)),0)</f>
        <v>110</v>
      </c>
      <c r="T286" s="7" t="n">
        <f aca="false">R286*S286</f>
        <v>1917.7158</v>
      </c>
      <c r="U286" s="17" t="n">
        <f aca="false">IF(M286="BRK",R286/2000,IF(OR(M286="SNDC",M286="SNDM",M286="CRS",M286="KHG",M286="EARTH"),R286/100,""))</f>
        <v>0.1743378</v>
      </c>
    </row>
    <row r="287" customFormat="false" ht="22.35" hidden="false" customHeight="false" outlineLevel="0" collapsed="false">
      <c r="A287" s="6" t="s">
        <v>775</v>
      </c>
      <c r="B287" s="6" t="s">
        <v>776</v>
      </c>
      <c r="C287" s="6" t="s">
        <v>786</v>
      </c>
      <c r="D287" s="9"/>
      <c r="E287" s="9"/>
      <c r="F287" s="9"/>
      <c r="G287" s="9"/>
      <c r="H287" s="12"/>
      <c r="I287" s="6"/>
      <c r="J287" s="6" t="s">
        <v>782</v>
      </c>
      <c r="K287" s="6" t="s">
        <v>776</v>
      </c>
      <c r="L287" s="6"/>
      <c r="M287" s="6" t="s">
        <v>56</v>
      </c>
      <c r="N287" s="13" t="str">
        <f aca="false">IFERROR(INDEX(Rates!$B$5:$B$84,MATCH(M287,Rates!$A$5:$A$84,0)),"")</f>
        <v>Steel Grade 60 deformed, #3 (10 mm) (Amreli / Mughal / FF Steel)</v>
      </c>
      <c r="O287" s="12" t="n">
        <v>26.6914</v>
      </c>
      <c r="P287" s="14" t="str">
        <f aca="false">IFERROR(INDEX(Rates!$C$5:$C$84,MATCH(M287,Rates!$A$5:$A$84,0)),"")</f>
        <v>kg</v>
      </c>
      <c r="Q287" s="15" t="n">
        <f aca="false">IFERROR(INDEX(Rates!$D$5:$D$84,MATCH(M287,Rates!$A$5:$A$84,0)),0)</f>
        <v>0.04</v>
      </c>
      <c r="R287" s="12" t="n">
        <f aca="false">O287*(1+Q287)</f>
        <v>27.759056</v>
      </c>
      <c r="S287" s="16" t="n">
        <f aca="false">IFERROR(INDEX(Rates!$E$5:$E$84,MATCH(M287,Rates!$A$5:$A$84,0)),0)</f>
        <v>262</v>
      </c>
      <c r="T287" s="7" t="n">
        <f aca="false">R287*S287</f>
        <v>7272.872672</v>
      </c>
      <c r="U287" s="17" t="str">
        <f aca="false">IF(M287="BRK",R287/2000,IF(OR(M287="SNDC",M287="SNDM",M287="CRS",M287="KHG",M287="EARTH"),R287/100,""))</f>
        <v/>
      </c>
    </row>
    <row r="288" customFormat="false" ht="22.35" hidden="false" customHeight="false" outlineLevel="0" collapsed="false">
      <c r="A288" s="6" t="s">
        <v>775</v>
      </c>
      <c r="B288" s="6" t="s">
        <v>776</v>
      </c>
      <c r="C288" s="6" t="s">
        <v>790</v>
      </c>
      <c r="D288" s="9" t="s">
        <v>776</v>
      </c>
      <c r="E288" s="9" t="s">
        <v>791</v>
      </c>
      <c r="F288" s="9" t="s">
        <v>792</v>
      </c>
      <c r="G288" s="9" t="s">
        <v>793</v>
      </c>
      <c r="H288" s="12" t="n">
        <v>84.657</v>
      </c>
      <c r="I288" s="6" t="s">
        <v>71</v>
      </c>
      <c r="J288" s="6" t="s">
        <v>782</v>
      </c>
      <c r="K288" s="6"/>
      <c r="L288" s="6"/>
      <c r="M288" s="6" t="s">
        <v>37</v>
      </c>
      <c r="N288" s="13" t="str">
        <f aca="false">IFERROR(INDEX(Rates!$B$5:$B$84,MATCH(M288,Rates!$A$5:$A$84,0)),"")</f>
        <v>Cement OPC, 50 kg bag (Lucky / Bestway / Maple Leaf)</v>
      </c>
      <c r="O288" s="12" t="n">
        <v>5.4045</v>
      </c>
      <c r="P288" s="14" t="str">
        <f aca="false">IFERROR(INDEX(Rates!$C$5:$C$84,MATCH(M288,Rates!$A$5:$A$84,0)),"")</f>
        <v>bag</v>
      </c>
      <c r="Q288" s="15" t="n">
        <f aca="false">IFERROR(INDEX(Rates!$D$5:$D$84,MATCH(M288,Rates!$A$5:$A$84,0)),0)</f>
        <v>0.03</v>
      </c>
      <c r="R288" s="12" t="n">
        <f aca="false">O288*(1+Q288)</f>
        <v>5.566635</v>
      </c>
      <c r="S288" s="16" t="n">
        <f aca="false">IFERROR(INDEX(Rates!$E$5:$E$84,MATCH(M288,Rates!$A$5:$A$84,0)),0)</f>
        <v>1560</v>
      </c>
      <c r="T288" s="7" t="n">
        <f aca="false">R288*S288</f>
        <v>8683.9506</v>
      </c>
      <c r="U288" s="17" t="str">
        <f aca="false">IF(M288="BRK",R288/2000,IF(OR(M288="SNDC",M288="SNDM",M288="CRS",M288="KHG",M288="EARTH"),R288/100,""))</f>
        <v/>
      </c>
    </row>
    <row r="289" customFormat="false" ht="15" hidden="false" customHeight="false" outlineLevel="0" collapsed="false">
      <c r="A289" s="6" t="s">
        <v>775</v>
      </c>
      <c r="B289" s="6" t="s">
        <v>776</v>
      </c>
      <c r="C289" s="6" t="s">
        <v>790</v>
      </c>
      <c r="D289" s="9"/>
      <c r="E289" s="9"/>
      <c r="F289" s="9"/>
      <c r="G289" s="9"/>
      <c r="H289" s="12"/>
      <c r="I289" s="6"/>
      <c r="J289" s="6" t="s">
        <v>782</v>
      </c>
      <c r="K289" s="6"/>
      <c r="L289" s="6"/>
      <c r="M289" s="6" t="s">
        <v>76</v>
      </c>
      <c r="N289" s="13" t="str">
        <f aca="false">IFERROR(INDEX(Rates!$B$5:$B$84,MATCH(M289,Rates!$A$5:$A$84,0)),"")</f>
        <v>Ravi sand (mortar, plaster, blinding, fill)</v>
      </c>
      <c r="O289" s="12" t="n">
        <v>27.0226</v>
      </c>
      <c r="P289" s="14" t="str">
        <f aca="false">IFERROR(INDEX(Rates!$C$5:$C$84,MATCH(M289,Rates!$A$5:$A$84,0)),"")</f>
        <v>cft</v>
      </c>
      <c r="Q289" s="15" t="n">
        <f aca="false">IFERROR(INDEX(Rates!$D$5:$D$84,MATCH(M289,Rates!$A$5:$A$84,0)),0)</f>
        <v>0.08</v>
      </c>
      <c r="R289" s="12" t="n">
        <f aca="false">O289*(1+Q289)</f>
        <v>29.184408</v>
      </c>
      <c r="S289" s="16" t="n">
        <f aca="false">IFERROR(INDEX(Rates!$E$5:$E$84,MATCH(M289,Rates!$A$5:$A$84,0)),0)</f>
        <v>40</v>
      </c>
      <c r="T289" s="7" t="n">
        <f aca="false">R289*S289</f>
        <v>1167.37632</v>
      </c>
      <c r="U289" s="17" t="n">
        <f aca="false">IF(M289="BRK",R289/2000,IF(OR(M289="SNDC",M289="SNDM",M289="CRS",M289="KHG",M289="EARTH"),R289/100,""))</f>
        <v>0.29184408</v>
      </c>
    </row>
    <row r="290" customFormat="false" ht="15" hidden="false" customHeight="false" outlineLevel="0" collapsed="false">
      <c r="A290" s="6" t="s">
        <v>775</v>
      </c>
      <c r="B290" s="6" t="s">
        <v>776</v>
      </c>
      <c r="C290" s="6" t="s">
        <v>790</v>
      </c>
      <c r="D290" s="9"/>
      <c r="E290" s="9"/>
      <c r="F290" s="9"/>
      <c r="G290" s="9"/>
      <c r="H290" s="12"/>
      <c r="I290" s="6"/>
      <c r="J290" s="6" t="s">
        <v>782</v>
      </c>
      <c r="K290" s="6"/>
      <c r="L290" s="6"/>
      <c r="M290" s="6" t="s">
        <v>43</v>
      </c>
      <c r="N290" s="13" t="str">
        <f aca="false">IFERROR(INDEX(Rates!$B$5:$B$84,MATCH(M290,Rates!$A$5:$A$84,0)),"")</f>
        <v>Bricks, first class (awwal), 9" x 4½" x 3"</v>
      </c>
      <c r="O290" s="12" t="n">
        <v>1142.8746</v>
      </c>
      <c r="P290" s="14" t="str">
        <f aca="false">IFERROR(INDEX(Rates!$C$5:$C$84,MATCH(M290,Rates!$A$5:$A$84,0)),"")</f>
        <v>nos</v>
      </c>
      <c r="Q290" s="15" t="n">
        <f aca="false">IFERROR(INDEX(Rates!$D$5:$D$84,MATCH(M290,Rates!$A$5:$A$84,0)),0)</f>
        <v>0.05</v>
      </c>
      <c r="R290" s="12" t="n">
        <f aca="false">O290*(1+Q290)</f>
        <v>1200.01833</v>
      </c>
      <c r="S290" s="16" t="n">
        <f aca="false">IFERROR(INDEX(Rates!$E$5:$E$84,MATCH(M290,Rates!$A$5:$A$84,0)),0)</f>
        <v>16</v>
      </c>
      <c r="T290" s="7" t="n">
        <f aca="false">R290*S290</f>
        <v>19200.29328</v>
      </c>
      <c r="U290" s="17" t="n">
        <f aca="false">IF(M290="BRK",R290/2000,IF(OR(M290="SNDC",M290="SNDM",M290="CRS",M290="KHG",M290="EARTH"),R290/100,""))</f>
        <v>0.600009165</v>
      </c>
    </row>
    <row r="291" customFormat="false" ht="22.35" hidden="false" customHeight="false" outlineLevel="0" collapsed="false">
      <c r="A291" s="6" t="s">
        <v>775</v>
      </c>
      <c r="B291" s="6" t="s">
        <v>776</v>
      </c>
      <c r="C291" s="6" t="s">
        <v>794</v>
      </c>
      <c r="D291" s="9" t="s">
        <v>776</v>
      </c>
      <c r="E291" s="9" t="s">
        <v>795</v>
      </c>
      <c r="F291" s="9" t="s">
        <v>796</v>
      </c>
      <c r="G291" s="9"/>
      <c r="H291" s="12" t="n">
        <v>10.423</v>
      </c>
      <c r="I291" s="6" t="s">
        <v>71</v>
      </c>
      <c r="J291" s="6" t="s">
        <v>782</v>
      </c>
      <c r="K291" s="6" t="s">
        <v>776</v>
      </c>
      <c r="L291" s="6"/>
      <c r="M291" s="6" t="s">
        <v>37</v>
      </c>
      <c r="N291" s="13" t="str">
        <f aca="false">IFERROR(INDEX(Rates!$B$5:$B$84,MATCH(M291,Rates!$A$5:$A$84,0)),"")</f>
        <v>Cement OPC, 50 kg bag (Lucky / Bestway / Maple Leaf)</v>
      </c>
      <c r="O291" s="12" t="n">
        <v>1.8701</v>
      </c>
      <c r="P291" s="14" t="str">
        <f aca="false">IFERROR(INDEX(Rates!$C$5:$C$84,MATCH(M291,Rates!$A$5:$A$84,0)),"")</f>
        <v>bag</v>
      </c>
      <c r="Q291" s="15" t="n">
        <f aca="false">IFERROR(INDEX(Rates!$D$5:$D$84,MATCH(M291,Rates!$A$5:$A$84,0)),0)</f>
        <v>0.03</v>
      </c>
      <c r="R291" s="12" t="n">
        <f aca="false">O291*(1+Q291)</f>
        <v>1.926203</v>
      </c>
      <c r="S291" s="16" t="n">
        <f aca="false">IFERROR(INDEX(Rates!$E$5:$E$84,MATCH(M291,Rates!$A$5:$A$84,0)),0)</f>
        <v>1560</v>
      </c>
      <c r="T291" s="7" t="n">
        <f aca="false">R291*S291</f>
        <v>3004.87668</v>
      </c>
      <c r="U291" s="17" t="str">
        <f aca="false">IF(M291="BRK",R291/2000,IF(OR(M291="SNDC",M291="SNDM",M291="CRS",M291="KHG",M291="EARTH"),R291/100,""))</f>
        <v/>
      </c>
    </row>
    <row r="292" customFormat="false" ht="15" hidden="false" customHeight="false" outlineLevel="0" collapsed="false">
      <c r="A292" s="6" t="s">
        <v>775</v>
      </c>
      <c r="B292" s="6" t="s">
        <v>776</v>
      </c>
      <c r="C292" s="6" t="s">
        <v>794</v>
      </c>
      <c r="D292" s="9"/>
      <c r="E292" s="9"/>
      <c r="F292" s="9"/>
      <c r="G292" s="9"/>
      <c r="H292" s="12"/>
      <c r="I292" s="6"/>
      <c r="J292" s="6" t="s">
        <v>782</v>
      </c>
      <c r="K292" s="6" t="s">
        <v>776</v>
      </c>
      <c r="L292" s="6"/>
      <c r="M292" s="6" t="s">
        <v>69</v>
      </c>
      <c r="N292" s="13" t="str">
        <f aca="false">IFERROR(INDEX(Rates!$B$5:$B$84,MATCH(M292,Rates!$A$5:$A$84,0)),"")</f>
        <v>Chenab sand (concrete, screed)</v>
      </c>
      <c r="O292" s="12" t="n">
        <v>4.6753</v>
      </c>
      <c r="P292" s="14" t="str">
        <f aca="false">IFERROR(INDEX(Rates!$C$5:$C$84,MATCH(M292,Rates!$A$5:$A$84,0)),"")</f>
        <v>cft</v>
      </c>
      <c r="Q292" s="15" t="n">
        <f aca="false">IFERROR(INDEX(Rates!$D$5:$D$84,MATCH(M292,Rates!$A$5:$A$84,0)),0)</f>
        <v>0.08</v>
      </c>
      <c r="R292" s="12" t="n">
        <f aca="false">O292*(1+Q292)</f>
        <v>5.049324</v>
      </c>
      <c r="S292" s="16" t="n">
        <f aca="false">IFERROR(INDEX(Rates!$E$5:$E$84,MATCH(M292,Rates!$A$5:$A$84,0)),0)</f>
        <v>65</v>
      </c>
      <c r="T292" s="7" t="n">
        <f aca="false">R292*S292</f>
        <v>328.20606</v>
      </c>
      <c r="U292" s="17" t="n">
        <f aca="false">IF(M292="BRK",R292/2000,IF(OR(M292="SNDC",M292="SNDM",M292="CRS",M292="KHG",M292="EARTH"),R292/100,""))</f>
        <v>0.05049324</v>
      </c>
    </row>
    <row r="293" customFormat="false" ht="15" hidden="false" customHeight="false" outlineLevel="0" collapsed="false">
      <c r="A293" s="6" t="s">
        <v>775</v>
      </c>
      <c r="B293" s="6" t="s">
        <v>776</v>
      </c>
      <c r="C293" s="6" t="s">
        <v>794</v>
      </c>
      <c r="D293" s="9"/>
      <c r="E293" s="9"/>
      <c r="F293" s="9"/>
      <c r="G293" s="9"/>
      <c r="H293" s="12"/>
      <c r="I293" s="6"/>
      <c r="J293" s="6" t="s">
        <v>782</v>
      </c>
      <c r="K293" s="6" t="s">
        <v>776</v>
      </c>
      <c r="L293" s="6"/>
      <c r="M293" s="6" t="s">
        <v>79</v>
      </c>
      <c r="N293" s="13" t="str">
        <f aca="false">IFERROR(INDEX(Rates!$B$5:$B$84,MATCH(M293,Rates!$A$5:$A$84,0)),"")</f>
        <v>Crush ¾" down, Sargodha (bajri)</v>
      </c>
      <c r="O293" s="12" t="n">
        <v>9.3506</v>
      </c>
      <c r="P293" s="14" t="str">
        <f aca="false">IFERROR(INDEX(Rates!$C$5:$C$84,MATCH(M293,Rates!$A$5:$A$84,0)),"")</f>
        <v>cft</v>
      </c>
      <c r="Q293" s="15" t="n">
        <f aca="false">IFERROR(INDEX(Rates!$D$5:$D$84,MATCH(M293,Rates!$A$5:$A$84,0)),0)</f>
        <v>0.05</v>
      </c>
      <c r="R293" s="12" t="n">
        <f aca="false">O293*(1+Q293)</f>
        <v>9.81813</v>
      </c>
      <c r="S293" s="16" t="n">
        <f aca="false">IFERROR(INDEX(Rates!$E$5:$E$84,MATCH(M293,Rates!$A$5:$A$84,0)),0)</f>
        <v>110</v>
      </c>
      <c r="T293" s="7" t="n">
        <f aca="false">R293*S293</f>
        <v>1079.9943</v>
      </c>
      <c r="U293" s="17" t="n">
        <f aca="false">IF(M293="BRK",R293/2000,IF(OR(M293="SNDC",M293="SNDM",M293="CRS",M293="KHG",M293="EARTH"),R293/100,""))</f>
        <v>0.0981813</v>
      </c>
    </row>
    <row r="294" customFormat="false" ht="22.35" hidden="false" customHeight="false" outlineLevel="0" collapsed="false">
      <c r="A294" s="6" t="s">
        <v>775</v>
      </c>
      <c r="B294" s="6" t="s">
        <v>776</v>
      </c>
      <c r="C294" s="6" t="s">
        <v>794</v>
      </c>
      <c r="D294" s="9"/>
      <c r="E294" s="9"/>
      <c r="F294" s="9"/>
      <c r="G294" s="9"/>
      <c r="H294" s="12"/>
      <c r="I294" s="6"/>
      <c r="J294" s="6" t="s">
        <v>782</v>
      </c>
      <c r="K294" s="6" t="s">
        <v>776</v>
      </c>
      <c r="L294" s="6"/>
      <c r="M294" s="6" t="s">
        <v>56</v>
      </c>
      <c r="N294" s="13" t="str">
        <f aca="false">IFERROR(INDEX(Rates!$B$5:$B$84,MATCH(M294,Rates!$A$5:$A$84,0)),"")</f>
        <v>Steel Grade 60 deformed, #3 (10 mm) (Amreli / Mughal / FF Steel)</v>
      </c>
      <c r="O294" s="12" t="n">
        <v>25.5826</v>
      </c>
      <c r="P294" s="14" t="str">
        <f aca="false">IFERROR(INDEX(Rates!$C$5:$C$84,MATCH(M294,Rates!$A$5:$A$84,0)),"")</f>
        <v>kg</v>
      </c>
      <c r="Q294" s="15" t="n">
        <f aca="false">IFERROR(INDEX(Rates!$D$5:$D$84,MATCH(M294,Rates!$A$5:$A$84,0)),0)</f>
        <v>0.04</v>
      </c>
      <c r="R294" s="12" t="n">
        <f aca="false">O294*(1+Q294)</f>
        <v>26.605904</v>
      </c>
      <c r="S294" s="16" t="n">
        <f aca="false">IFERROR(INDEX(Rates!$E$5:$E$84,MATCH(M294,Rates!$A$5:$A$84,0)),0)</f>
        <v>262</v>
      </c>
      <c r="T294" s="7" t="n">
        <f aca="false">R294*S294</f>
        <v>6970.746848</v>
      </c>
      <c r="U294" s="17" t="str">
        <f aca="false">IF(M294="BRK",R294/2000,IF(OR(M294="SNDC",M294="SNDM",M294="CRS",M294="KHG",M294="EARTH"),R294/100,""))</f>
        <v/>
      </c>
    </row>
    <row r="295" customFormat="false" ht="22.35" hidden="false" customHeight="false" outlineLevel="0" collapsed="false">
      <c r="A295" s="6" t="s">
        <v>775</v>
      </c>
      <c r="B295" s="6" t="s">
        <v>776</v>
      </c>
      <c r="C295" s="6" t="s">
        <v>797</v>
      </c>
      <c r="D295" s="9" t="s">
        <v>776</v>
      </c>
      <c r="E295" s="9" t="s">
        <v>798</v>
      </c>
      <c r="F295" s="9" t="s">
        <v>751</v>
      </c>
      <c r="G295" s="9"/>
      <c r="H295" s="12" t="n">
        <v>2</v>
      </c>
      <c r="I295" s="6" t="s">
        <v>71</v>
      </c>
      <c r="J295" s="6" t="s">
        <v>782</v>
      </c>
      <c r="K295" s="6" t="s">
        <v>776</v>
      </c>
      <c r="L295" s="6"/>
      <c r="M295" s="6" t="s">
        <v>37</v>
      </c>
      <c r="N295" s="13" t="str">
        <f aca="false">IFERROR(INDEX(Rates!$B$5:$B$84,MATCH(M295,Rates!$A$5:$A$84,0)),"")</f>
        <v>Cement OPC, 50 kg bag (Lucky / Bestway / Maple Leaf)</v>
      </c>
      <c r="O295" s="12" t="n">
        <v>0.3589</v>
      </c>
      <c r="P295" s="14" t="str">
        <f aca="false">IFERROR(INDEX(Rates!$C$5:$C$84,MATCH(M295,Rates!$A$5:$A$84,0)),"")</f>
        <v>bag</v>
      </c>
      <c r="Q295" s="15" t="n">
        <f aca="false">IFERROR(INDEX(Rates!$D$5:$D$84,MATCH(M295,Rates!$A$5:$A$84,0)),0)</f>
        <v>0.03</v>
      </c>
      <c r="R295" s="12" t="n">
        <f aca="false">O295*(1+Q295)</f>
        <v>0.369667</v>
      </c>
      <c r="S295" s="16" t="n">
        <f aca="false">IFERROR(INDEX(Rates!$E$5:$E$84,MATCH(M295,Rates!$A$5:$A$84,0)),0)</f>
        <v>1560</v>
      </c>
      <c r="T295" s="7" t="n">
        <f aca="false">R295*S295</f>
        <v>576.68052</v>
      </c>
      <c r="U295" s="17" t="str">
        <f aca="false">IF(M295="BRK",R295/2000,IF(OR(M295="SNDC",M295="SNDM",M295="CRS",M295="KHG",M295="EARTH"),R295/100,""))</f>
        <v/>
      </c>
    </row>
    <row r="296" customFormat="false" ht="15" hidden="false" customHeight="false" outlineLevel="0" collapsed="false">
      <c r="A296" s="6" t="s">
        <v>775</v>
      </c>
      <c r="B296" s="6" t="s">
        <v>776</v>
      </c>
      <c r="C296" s="6" t="s">
        <v>797</v>
      </c>
      <c r="D296" s="9"/>
      <c r="E296" s="9"/>
      <c r="F296" s="9"/>
      <c r="G296" s="9"/>
      <c r="H296" s="12"/>
      <c r="I296" s="6"/>
      <c r="J296" s="6" t="s">
        <v>782</v>
      </c>
      <c r="K296" s="6" t="s">
        <v>776</v>
      </c>
      <c r="L296" s="6"/>
      <c r="M296" s="6" t="s">
        <v>69</v>
      </c>
      <c r="N296" s="13" t="str">
        <f aca="false">IFERROR(INDEX(Rates!$B$5:$B$84,MATCH(M296,Rates!$A$5:$A$84,0)),"")</f>
        <v>Chenab sand (concrete, screed)</v>
      </c>
      <c r="O296" s="12" t="n">
        <v>0.8971</v>
      </c>
      <c r="P296" s="14" t="str">
        <f aca="false">IFERROR(INDEX(Rates!$C$5:$C$84,MATCH(M296,Rates!$A$5:$A$84,0)),"")</f>
        <v>cft</v>
      </c>
      <c r="Q296" s="15" t="n">
        <f aca="false">IFERROR(INDEX(Rates!$D$5:$D$84,MATCH(M296,Rates!$A$5:$A$84,0)),0)</f>
        <v>0.08</v>
      </c>
      <c r="R296" s="12" t="n">
        <f aca="false">O296*(1+Q296)</f>
        <v>0.968868</v>
      </c>
      <c r="S296" s="16" t="n">
        <f aca="false">IFERROR(INDEX(Rates!$E$5:$E$84,MATCH(M296,Rates!$A$5:$A$84,0)),0)</f>
        <v>65</v>
      </c>
      <c r="T296" s="7" t="n">
        <f aca="false">R296*S296</f>
        <v>62.97642</v>
      </c>
      <c r="U296" s="17" t="n">
        <f aca="false">IF(M296="BRK",R296/2000,IF(OR(M296="SNDC",M296="SNDM",M296="CRS",M296="KHG",M296="EARTH"),R296/100,""))</f>
        <v>0.00968868</v>
      </c>
    </row>
    <row r="297" customFormat="false" ht="15" hidden="false" customHeight="false" outlineLevel="0" collapsed="false">
      <c r="A297" s="6" t="s">
        <v>775</v>
      </c>
      <c r="B297" s="6" t="s">
        <v>776</v>
      </c>
      <c r="C297" s="6" t="s">
        <v>797</v>
      </c>
      <c r="D297" s="9"/>
      <c r="E297" s="9"/>
      <c r="F297" s="9"/>
      <c r="G297" s="9"/>
      <c r="H297" s="12"/>
      <c r="I297" s="6"/>
      <c r="J297" s="6" t="s">
        <v>782</v>
      </c>
      <c r="K297" s="6" t="s">
        <v>776</v>
      </c>
      <c r="L297" s="6"/>
      <c r="M297" s="6" t="s">
        <v>79</v>
      </c>
      <c r="N297" s="13" t="str">
        <f aca="false">IFERROR(INDEX(Rates!$B$5:$B$84,MATCH(M297,Rates!$A$5:$A$84,0)),"")</f>
        <v>Crush ¾" down, Sargodha (bajri)</v>
      </c>
      <c r="O297" s="12" t="n">
        <v>1.7943</v>
      </c>
      <c r="P297" s="14" t="str">
        <f aca="false">IFERROR(INDEX(Rates!$C$5:$C$84,MATCH(M297,Rates!$A$5:$A$84,0)),"")</f>
        <v>cft</v>
      </c>
      <c r="Q297" s="15" t="n">
        <f aca="false">IFERROR(INDEX(Rates!$D$5:$D$84,MATCH(M297,Rates!$A$5:$A$84,0)),0)</f>
        <v>0.05</v>
      </c>
      <c r="R297" s="12" t="n">
        <f aca="false">O297*(1+Q297)</f>
        <v>1.884015</v>
      </c>
      <c r="S297" s="16" t="n">
        <f aca="false">IFERROR(INDEX(Rates!$E$5:$E$84,MATCH(M297,Rates!$A$5:$A$84,0)),0)</f>
        <v>110</v>
      </c>
      <c r="T297" s="7" t="n">
        <f aca="false">R297*S297</f>
        <v>207.24165</v>
      </c>
      <c r="U297" s="17" t="n">
        <f aca="false">IF(M297="BRK",R297/2000,IF(OR(M297="SNDC",M297="SNDM",M297="CRS",M297="KHG",M297="EARTH"),R297/100,""))</f>
        <v>0.01884015</v>
      </c>
    </row>
    <row r="298" customFormat="false" ht="22.35" hidden="false" customHeight="false" outlineLevel="0" collapsed="false">
      <c r="A298" s="6" t="s">
        <v>775</v>
      </c>
      <c r="B298" s="6" t="s">
        <v>776</v>
      </c>
      <c r="C298" s="6" t="s">
        <v>797</v>
      </c>
      <c r="D298" s="9"/>
      <c r="E298" s="9"/>
      <c r="F298" s="9"/>
      <c r="G298" s="9"/>
      <c r="H298" s="12"/>
      <c r="I298" s="6"/>
      <c r="J298" s="6" t="s">
        <v>782</v>
      </c>
      <c r="K298" s="6" t="s">
        <v>776</v>
      </c>
      <c r="L298" s="6"/>
      <c r="M298" s="6" t="s">
        <v>56</v>
      </c>
      <c r="N298" s="13" t="str">
        <f aca="false">IFERROR(INDEX(Rates!$B$5:$B$84,MATCH(M298,Rates!$A$5:$A$84,0)),"")</f>
        <v>Steel Grade 60 deformed, #3 (10 mm) (Amreli / Mughal / FF Steel)</v>
      </c>
      <c r="O298" s="12" t="n">
        <v>6.822</v>
      </c>
      <c r="P298" s="14" t="str">
        <f aca="false">IFERROR(INDEX(Rates!$C$5:$C$84,MATCH(M298,Rates!$A$5:$A$84,0)),"")</f>
        <v>kg</v>
      </c>
      <c r="Q298" s="15" t="n">
        <f aca="false">IFERROR(INDEX(Rates!$D$5:$D$84,MATCH(M298,Rates!$A$5:$A$84,0)),0)</f>
        <v>0.04</v>
      </c>
      <c r="R298" s="12" t="n">
        <f aca="false">O298*(1+Q298)</f>
        <v>7.09488</v>
      </c>
      <c r="S298" s="16" t="n">
        <f aca="false">IFERROR(INDEX(Rates!$E$5:$E$84,MATCH(M298,Rates!$A$5:$A$84,0)),0)</f>
        <v>262</v>
      </c>
      <c r="T298" s="7" t="n">
        <f aca="false">R298*S298</f>
        <v>1858.85856</v>
      </c>
      <c r="U298" s="17" t="str">
        <f aca="false">IF(M298="BRK",R298/2000,IF(OR(M298="SNDC",M298="SNDM",M298="CRS",M298="KHG",M298="EARTH"),R298/100,""))</f>
        <v/>
      </c>
    </row>
    <row r="299" customFormat="false" ht="22.35" hidden="false" customHeight="false" outlineLevel="0" collapsed="false">
      <c r="A299" s="6" t="s">
        <v>775</v>
      </c>
      <c r="B299" s="6" t="s">
        <v>776</v>
      </c>
      <c r="C299" s="6" t="s">
        <v>799</v>
      </c>
      <c r="D299" s="9" t="s">
        <v>776</v>
      </c>
      <c r="E299" s="9" t="s">
        <v>800</v>
      </c>
      <c r="F299" s="9" t="s">
        <v>801</v>
      </c>
      <c r="G299" s="9"/>
      <c r="H299" s="12" t="n">
        <v>273.02</v>
      </c>
      <c r="I299" s="6" t="s">
        <v>394</v>
      </c>
      <c r="J299" s="6" t="s">
        <v>782</v>
      </c>
      <c r="K299" s="6"/>
      <c r="L299" s="6"/>
      <c r="M299" s="6" t="s">
        <v>37</v>
      </c>
      <c r="N299" s="13" t="str">
        <f aca="false">IFERROR(INDEX(Rates!$B$5:$B$84,MATCH(M299,Rates!$A$5:$A$84,0)),"")</f>
        <v>Cement OPC, 50 kg bag (Lucky / Bestway / Maple Leaf)</v>
      </c>
      <c r="O299" s="12" t="n">
        <v>5.6737</v>
      </c>
      <c r="P299" s="14" t="str">
        <f aca="false">IFERROR(INDEX(Rates!$C$5:$C$84,MATCH(M299,Rates!$A$5:$A$84,0)),"")</f>
        <v>bag</v>
      </c>
      <c r="Q299" s="15" t="n">
        <f aca="false">IFERROR(INDEX(Rates!$D$5:$D$84,MATCH(M299,Rates!$A$5:$A$84,0)),0)</f>
        <v>0.03</v>
      </c>
      <c r="R299" s="12" t="n">
        <f aca="false">O299*(1+Q299)</f>
        <v>5.843911</v>
      </c>
      <c r="S299" s="16" t="n">
        <f aca="false">IFERROR(INDEX(Rates!$E$5:$E$84,MATCH(M299,Rates!$A$5:$A$84,0)),0)</f>
        <v>1560</v>
      </c>
      <c r="T299" s="7" t="n">
        <f aca="false">R299*S299</f>
        <v>9116.50116</v>
      </c>
      <c r="U299" s="17" t="str">
        <f aca="false">IF(M299="BRK",R299/2000,IF(OR(M299="SNDC",M299="SNDM",M299="CRS",M299="KHG",M299="EARTH"),R299/100,""))</f>
        <v/>
      </c>
    </row>
    <row r="300" customFormat="false" ht="15" hidden="false" customHeight="false" outlineLevel="0" collapsed="false">
      <c r="A300" s="6" t="s">
        <v>775</v>
      </c>
      <c r="B300" s="6" t="s">
        <v>776</v>
      </c>
      <c r="C300" s="6" t="s">
        <v>799</v>
      </c>
      <c r="D300" s="9"/>
      <c r="E300" s="9"/>
      <c r="F300" s="9"/>
      <c r="G300" s="9"/>
      <c r="H300" s="12"/>
      <c r="I300" s="6"/>
      <c r="J300" s="6" t="s">
        <v>782</v>
      </c>
      <c r="K300" s="6"/>
      <c r="L300" s="6"/>
      <c r="M300" s="6" t="s">
        <v>76</v>
      </c>
      <c r="N300" s="13" t="str">
        <f aca="false">IFERROR(INDEX(Rates!$B$5:$B$84,MATCH(M300,Rates!$A$5:$A$84,0)),"")</f>
        <v>Ravi sand (mortar, plaster, blinding, fill)</v>
      </c>
      <c r="O300" s="12" t="n">
        <v>21.2764</v>
      </c>
      <c r="P300" s="14" t="str">
        <f aca="false">IFERROR(INDEX(Rates!$C$5:$C$84,MATCH(M300,Rates!$A$5:$A$84,0)),"")</f>
        <v>cft</v>
      </c>
      <c r="Q300" s="15" t="n">
        <f aca="false">IFERROR(INDEX(Rates!$D$5:$D$84,MATCH(M300,Rates!$A$5:$A$84,0)),0)</f>
        <v>0.08</v>
      </c>
      <c r="R300" s="12" t="n">
        <f aca="false">O300*(1+Q300)</f>
        <v>22.978512</v>
      </c>
      <c r="S300" s="16" t="n">
        <f aca="false">IFERROR(INDEX(Rates!$E$5:$E$84,MATCH(M300,Rates!$A$5:$A$84,0)),0)</f>
        <v>40</v>
      </c>
      <c r="T300" s="7" t="n">
        <f aca="false">R300*S300</f>
        <v>919.14048</v>
      </c>
      <c r="U300" s="17" t="n">
        <f aca="false">IF(M300="BRK",R300/2000,IF(OR(M300="SNDC",M300="SNDM",M300="CRS",M300="KHG",M300="EARTH"),R300/100,""))</f>
        <v>0.22978512</v>
      </c>
    </row>
    <row r="301" customFormat="false" ht="22.35" hidden="false" customHeight="false" outlineLevel="0" collapsed="false">
      <c r="A301" s="6" t="s">
        <v>775</v>
      </c>
      <c r="B301" s="6" t="s">
        <v>776</v>
      </c>
      <c r="C301" s="6" t="s">
        <v>799</v>
      </c>
      <c r="D301" s="9"/>
      <c r="E301" s="9"/>
      <c r="F301" s="9"/>
      <c r="G301" s="9"/>
      <c r="H301" s="12"/>
      <c r="I301" s="6"/>
      <c r="J301" s="6" t="s">
        <v>782</v>
      </c>
      <c r="K301" s="6"/>
      <c r="L301" s="6"/>
      <c r="M301" s="6" t="s">
        <v>97</v>
      </c>
      <c r="N301" s="13" t="str">
        <f aca="false">IFERROR(INDEX(Rates!$B$5:$B$84,MATCH(M301,Rates!$A$5:$A$84,0)),"")</f>
        <v>Integral waterproofing compound (powder), 1 kg per bag of cement</v>
      </c>
      <c r="O301" s="12" t="n">
        <v>5.6737</v>
      </c>
      <c r="P301" s="14" t="str">
        <f aca="false">IFERROR(INDEX(Rates!$C$5:$C$84,MATCH(M301,Rates!$A$5:$A$84,0)),"")</f>
        <v>kg</v>
      </c>
      <c r="Q301" s="15" t="n">
        <f aca="false">IFERROR(INDEX(Rates!$D$5:$D$84,MATCH(M301,Rates!$A$5:$A$84,0)),0)</f>
        <v>0</v>
      </c>
      <c r="R301" s="12" t="n">
        <f aca="false">O301*(1+Q301)</f>
        <v>5.6737</v>
      </c>
      <c r="S301" s="16" t="n">
        <f aca="false">IFERROR(INDEX(Rates!$E$5:$E$84,MATCH(M301,Rates!$A$5:$A$84,0)),0)</f>
        <v>350</v>
      </c>
      <c r="T301" s="7" t="n">
        <f aca="false">R301*S301</f>
        <v>1985.795</v>
      </c>
      <c r="U301" s="17" t="str">
        <f aca="false">IF(M301="BRK",R301/2000,IF(OR(M301="SNDC",M301="SNDM",M301="CRS",M301="KHG",M301="EARTH"),R301/100,""))</f>
        <v/>
      </c>
    </row>
    <row r="302" customFormat="false" ht="22.35" hidden="false" customHeight="false" outlineLevel="0" collapsed="false">
      <c r="A302" s="6" t="s">
        <v>775</v>
      </c>
      <c r="B302" s="6" t="s">
        <v>776</v>
      </c>
      <c r="C302" s="6" t="s">
        <v>802</v>
      </c>
      <c r="D302" s="9" t="s">
        <v>776</v>
      </c>
      <c r="E302" s="9" t="s">
        <v>803</v>
      </c>
      <c r="F302" s="9" t="s">
        <v>804</v>
      </c>
      <c r="G302" s="9" t="s">
        <v>805</v>
      </c>
      <c r="H302" s="12" t="n">
        <v>1</v>
      </c>
      <c r="I302" s="6" t="s">
        <v>806</v>
      </c>
      <c r="J302" s="6" t="s">
        <v>782</v>
      </c>
      <c r="K302" s="6"/>
      <c r="L302" s="6"/>
      <c r="M302" s="6" t="s">
        <v>142</v>
      </c>
      <c r="N302" s="13" t="str">
        <f aca="false">IFERROR(INDEX(Rates!$B$5:$B$84,MATCH(M302,Rates!$A$5:$A$84,0)),"")</f>
        <v>UPVC fittings 5" (bends, tees, sockets)</v>
      </c>
      <c r="O302" s="12" t="n">
        <v>2</v>
      </c>
      <c r="P302" s="14" t="str">
        <f aca="false">IFERROR(INDEX(Rates!$C$5:$C$84,MATCH(M302,Rates!$A$5:$A$84,0)),"")</f>
        <v>nos</v>
      </c>
      <c r="Q302" s="15" t="n">
        <f aca="false">IFERROR(INDEX(Rates!$D$5:$D$84,MATCH(M302,Rates!$A$5:$A$84,0)),0)</f>
        <v>0</v>
      </c>
      <c r="R302" s="12" t="n">
        <f aca="false">O302*(1+Q302)</f>
        <v>2</v>
      </c>
      <c r="S302" s="16" t="n">
        <f aca="false">IFERROR(INDEX(Rates!$E$5:$E$84,MATCH(M302,Rates!$A$5:$A$84,0)),0)</f>
        <v>950</v>
      </c>
      <c r="T302" s="7" t="n">
        <f aca="false">R302*S302</f>
        <v>1900</v>
      </c>
      <c r="U302" s="17" t="str">
        <f aca="false">IF(M302="BRK",R302/2000,IF(OR(M302="SNDC",M302="SNDM",M302="CRS",M302="KHG",M302="EARTH"),R302/100,""))</f>
        <v/>
      </c>
    </row>
    <row r="303" customFormat="false" ht="15" hidden="false" customHeight="false" outlineLevel="0" collapsed="false">
      <c r="A303" s="6" t="s">
        <v>775</v>
      </c>
      <c r="B303" s="6" t="s">
        <v>776</v>
      </c>
      <c r="C303" s="6" t="s">
        <v>802</v>
      </c>
      <c r="D303" s="9"/>
      <c r="E303" s="9"/>
      <c r="F303" s="9"/>
      <c r="G303" s="9"/>
      <c r="H303" s="12"/>
      <c r="I303" s="6"/>
      <c r="J303" s="6" t="s">
        <v>782</v>
      </c>
      <c r="K303" s="6"/>
      <c r="L303" s="6"/>
      <c r="M303" s="6" t="s">
        <v>132</v>
      </c>
      <c r="N303" s="13" t="str">
        <f aca="false">IFERROR(INDEX(Rates!$B$5:$B$84,MATCH(M303,Rates!$A$5:$A$84,0)),"")</f>
        <v>UPVC sewer pipe 5" (Dadex / Beta)</v>
      </c>
      <c r="O303" s="12" t="n">
        <v>4</v>
      </c>
      <c r="P303" s="14" t="str">
        <f aca="false">IFERROR(INDEX(Rates!$C$5:$C$84,MATCH(M303,Rates!$A$5:$A$84,0)),"")</f>
        <v>ft</v>
      </c>
      <c r="Q303" s="15" t="n">
        <f aca="false">IFERROR(INDEX(Rates!$D$5:$D$84,MATCH(M303,Rates!$A$5:$A$84,0)),0)</f>
        <v>0.07</v>
      </c>
      <c r="R303" s="12" t="n">
        <f aca="false">O303*(1+Q303)</f>
        <v>4.28</v>
      </c>
      <c r="S303" s="16" t="n">
        <f aca="false">IFERROR(INDEX(Rates!$E$5:$E$84,MATCH(M303,Rates!$A$5:$A$84,0)),0)</f>
        <v>420</v>
      </c>
      <c r="T303" s="7" t="n">
        <f aca="false">R303*S303</f>
        <v>1797.6</v>
      </c>
      <c r="U303" s="17" t="str">
        <f aca="false">IF(M303="BRK",R303/2000,IF(OR(M303="SNDC",M303="SNDM",M303="CRS",M303="KHG",M303="EARTH"),R303/100,""))</f>
        <v/>
      </c>
    </row>
    <row r="304" customFormat="false" ht="15" hidden="false" customHeight="false" outlineLevel="0" collapsed="false">
      <c r="A304" s="6" t="s">
        <v>775</v>
      </c>
      <c r="B304" s="6" t="s">
        <v>776</v>
      </c>
      <c r="C304" s="6" t="s">
        <v>802</v>
      </c>
      <c r="D304" s="9"/>
      <c r="E304" s="9"/>
      <c r="F304" s="9"/>
      <c r="G304" s="9"/>
      <c r="H304" s="12"/>
      <c r="I304" s="6"/>
      <c r="J304" s="6" t="s">
        <v>782</v>
      </c>
      <c r="K304" s="6"/>
      <c r="L304" s="6"/>
      <c r="M304" s="6" t="s">
        <v>138</v>
      </c>
      <c r="N304" s="13" t="str">
        <f aca="false">IFERROR(INDEX(Rates!$B$5:$B$84,MATCH(M304,Rates!$A$5:$A$84,0)),"")</f>
        <v>UPVC pipe 3" (waste / vent)</v>
      </c>
      <c r="O304" s="12" t="n">
        <v>12</v>
      </c>
      <c r="P304" s="14" t="str">
        <f aca="false">IFERROR(INDEX(Rates!$C$5:$C$84,MATCH(M304,Rates!$A$5:$A$84,0)),"")</f>
        <v>ft</v>
      </c>
      <c r="Q304" s="15" t="n">
        <f aca="false">IFERROR(INDEX(Rates!$D$5:$D$84,MATCH(M304,Rates!$A$5:$A$84,0)),0)</f>
        <v>0.07</v>
      </c>
      <c r="R304" s="12" t="n">
        <f aca="false">O304*(1+Q304)</f>
        <v>12.84</v>
      </c>
      <c r="S304" s="16" t="n">
        <f aca="false">IFERROR(INDEX(Rates!$E$5:$E$84,MATCH(M304,Rates!$A$5:$A$84,0)),0)</f>
        <v>200</v>
      </c>
      <c r="T304" s="7" t="n">
        <f aca="false">R304*S304</f>
        <v>2568</v>
      </c>
      <c r="U304" s="17" t="str">
        <f aca="false">IF(M304="BRK",R304/2000,IF(OR(M304="SNDC",M304="SNDM",M304="CRS",M304="KHG",M304="EARTH"),R304/100,""))</f>
        <v/>
      </c>
    </row>
    <row r="305" customFormat="false" ht="15" hidden="false" customHeight="false" outlineLevel="0" collapsed="false">
      <c r="A305" s="6" t="s">
        <v>775</v>
      </c>
      <c r="B305" s="6" t="s">
        <v>776</v>
      </c>
      <c r="C305" s="6" t="s">
        <v>802</v>
      </c>
      <c r="D305" s="9"/>
      <c r="E305" s="9"/>
      <c r="F305" s="9"/>
      <c r="G305" s="9"/>
      <c r="H305" s="12"/>
      <c r="I305" s="6"/>
      <c r="J305" s="6" t="s">
        <v>782</v>
      </c>
      <c r="K305" s="6"/>
      <c r="L305" s="6"/>
      <c r="M305" s="6" t="s">
        <v>148</v>
      </c>
      <c r="N305" s="13" t="str">
        <f aca="false">IFERROR(INDEX(Rates!$B$5:$B$84,MATCH(M305,Rates!$A$5:$A$84,0)),"")</f>
        <v>Vent cowl 3"</v>
      </c>
      <c r="O305" s="12" t="n">
        <v>1</v>
      </c>
      <c r="P305" s="14" t="str">
        <f aca="false">IFERROR(INDEX(Rates!$C$5:$C$84,MATCH(M305,Rates!$A$5:$A$84,0)),"")</f>
        <v>nos</v>
      </c>
      <c r="Q305" s="15" t="n">
        <f aca="false">IFERROR(INDEX(Rates!$D$5:$D$84,MATCH(M305,Rates!$A$5:$A$84,0)),0)</f>
        <v>0</v>
      </c>
      <c r="R305" s="12" t="n">
        <f aca="false">O305*(1+Q305)</f>
        <v>1</v>
      </c>
      <c r="S305" s="16" t="n">
        <f aca="false">IFERROR(INDEX(Rates!$E$5:$E$84,MATCH(M305,Rates!$A$5:$A$84,0)),0)</f>
        <v>600</v>
      </c>
      <c r="T305" s="7" t="n">
        <f aca="false">R305*S305</f>
        <v>600</v>
      </c>
      <c r="U305" s="17" t="str">
        <f aca="false">IF(M305="BRK",R305/2000,IF(OR(M305="SNDC",M305="SNDM",M305="CRS",M305="KHG",M305="EARTH"),R305/100,""))</f>
        <v/>
      </c>
    </row>
    <row r="306" customFormat="false" ht="15" hidden="false" customHeight="false" outlineLevel="0" collapsed="false">
      <c r="A306" s="6" t="s">
        <v>775</v>
      </c>
      <c r="B306" s="6" t="s">
        <v>776</v>
      </c>
      <c r="C306" s="6" t="s">
        <v>807</v>
      </c>
      <c r="D306" s="9" t="s">
        <v>776</v>
      </c>
      <c r="E306" s="9" t="s">
        <v>808</v>
      </c>
      <c r="F306" s="9"/>
      <c r="G306" s="9" t="s">
        <v>809</v>
      </c>
      <c r="H306" s="12" t="n">
        <v>143.625</v>
      </c>
      <c r="I306" s="6" t="s">
        <v>71</v>
      </c>
      <c r="J306" s="6" t="s">
        <v>782</v>
      </c>
      <c r="K306" s="6"/>
      <c r="L306" s="6" t="s">
        <v>403</v>
      </c>
      <c r="M306" s="6"/>
      <c r="N306" s="13"/>
      <c r="O306" s="12"/>
      <c r="P306" s="14"/>
      <c r="Q306" s="15"/>
      <c r="R306" s="12"/>
      <c r="S306" s="16"/>
      <c r="T306" s="7" t="n">
        <v>0</v>
      </c>
      <c r="U306" s="17"/>
    </row>
    <row r="307" customFormat="false" ht="22.35" hidden="false" customHeight="false" outlineLevel="0" collapsed="false">
      <c r="A307" s="6" t="s">
        <v>810</v>
      </c>
      <c r="B307" s="6" t="s">
        <v>811</v>
      </c>
      <c r="C307" s="6" t="s">
        <v>812</v>
      </c>
      <c r="D307" s="9" t="s">
        <v>813</v>
      </c>
      <c r="E307" s="9" t="s">
        <v>814</v>
      </c>
      <c r="F307" s="9" t="s">
        <v>815</v>
      </c>
      <c r="G307" s="9"/>
      <c r="H307" s="12" t="n">
        <v>218.381</v>
      </c>
      <c r="I307" s="6" t="s">
        <v>71</v>
      </c>
      <c r="J307" s="6" t="s">
        <v>816</v>
      </c>
      <c r="K307" s="6"/>
      <c r="L307" s="6" t="s">
        <v>297</v>
      </c>
      <c r="M307" s="6"/>
      <c r="N307" s="13"/>
      <c r="O307" s="12"/>
      <c r="P307" s="14"/>
      <c r="Q307" s="15"/>
      <c r="R307" s="12"/>
      <c r="S307" s="16"/>
      <c r="T307" s="7" t="n">
        <v>0</v>
      </c>
      <c r="U307" s="17"/>
    </row>
    <row r="308" customFormat="false" ht="22.35" hidden="false" customHeight="false" outlineLevel="0" collapsed="false">
      <c r="A308" s="6" t="s">
        <v>810</v>
      </c>
      <c r="B308" s="6" t="s">
        <v>811</v>
      </c>
      <c r="C308" s="6" t="s">
        <v>817</v>
      </c>
      <c r="D308" s="9" t="s">
        <v>818</v>
      </c>
      <c r="E308" s="9" t="s">
        <v>784</v>
      </c>
      <c r="F308" s="9" t="s">
        <v>819</v>
      </c>
      <c r="G308" s="9"/>
      <c r="H308" s="12" t="n">
        <v>9.254</v>
      </c>
      <c r="I308" s="6" t="s">
        <v>71</v>
      </c>
      <c r="J308" s="6" t="s">
        <v>820</v>
      </c>
      <c r="K308" s="6"/>
      <c r="L308" s="6"/>
      <c r="M308" s="6" t="s">
        <v>37</v>
      </c>
      <c r="N308" s="13" t="str">
        <f aca="false">IFERROR(INDEX(Rates!$B$5:$B$84,MATCH(M308,Rates!$A$5:$A$84,0)),"")</f>
        <v>Cement OPC, 50 kg bag (Lucky / Bestway / Maple Leaf)</v>
      </c>
      <c r="O308" s="12" t="n">
        <v>0.894</v>
      </c>
      <c r="P308" s="14" t="str">
        <f aca="false">IFERROR(INDEX(Rates!$C$5:$C$84,MATCH(M308,Rates!$A$5:$A$84,0)),"")</f>
        <v>bag</v>
      </c>
      <c r="Q308" s="15" t="n">
        <f aca="false">IFERROR(INDEX(Rates!$D$5:$D$84,MATCH(M308,Rates!$A$5:$A$84,0)),0)</f>
        <v>0.03</v>
      </c>
      <c r="R308" s="12" t="n">
        <f aca="false">O308*(1+Q308)</f>
        <v>0.92082</v>
      </c>
      <c r="S308" s="16" t="n">
        <f aca="false">IFERROR(INDEX(Rates!$E$5:$E$84,MATCH(M308,Rates!$A$5:$A$84,0)),0)</f>
        <v>1560</v>
      </c>
      <c r="T308" s="7" t="n">
        <f aca="false">R308*S308</f>
        <v>1436.4792</v>
      </c>
      <c r="U308" s="17" t="str">
        <f aca="false">IF(M308="BRK",R308/2000,IF(OR(M308="SNDC",M308="SNDM",M308="CRS",M308="KHG",M308="EARTH"),R308/100,""))</f>
        <v/>
      </c>
    </row>
    <row r="309" customFormat="false" ht="15" hidden="false" customHeight="false" outlineLevel="0" collapsed="false">
      <c r="A309" s="6" t="s">
        <v>810</v>
      </c>
      <c r="B309" s="6" t="s">
        <v>811</v>
      </c>
      <c r="C309" s="6" t="s">
        <v>817</v>
      </c>
      <c r="D309" s="9"/>
      <c r="E309" s="9"/>
      <c r="F309" s="9"/>
      <c r="G309" s="9"/>
      <c r="H309" s="12"/>
      <c r="I309" s="6"/>
      <c r="J309" s="6" t="s">
        <v>820</v>
      </c>
      <c r="K309" s="6"/>
      <c r="L309" s="6"/>
      <c r="M309" s="6" t="s">
        <v>69</v>
      </c>
      <c r="N309" s="13" t="str">
        <f aca="false">IFERROR(INDEX(Rates!$B$5:$B$84,MATCH(M309,Rates!$A$5:$A$84,0)),"")</f>
        <v>Chenab sand (concrete, screed)</v>
      </c>
      <c r="O309" s="12" t="n">
        <v>4.4702</v>
      </c>
      <c r="P309" s="14" t="str">
        <f aca="false">IFERROR(INDEX(Rates!$C$5:$C$84,MATCH(M309,Rates!$A$5:$A$84,0)),"")</f>
        <v>cft</v>
      </c>
      <c r="Q309" s="15" t="n">
        <f aca="false">IFERROR(INDEX(Rates!$D$5:$D$84,MATCH(M309,Rates!$A$5:$A$84,0)),0)</f>
        <v>0.08</v>
      </c>
      <c r="R309" s="12" t="n">
        <f aca="false">O309*(1+Q309)</f>
        <v>4.827816</v>
      </c>
      <c r="S309" s="16" t="n">
        <f aca="false">IFERROR(INDEX(Rates!$E$5:$E$84,MATCH(M309,Rates!$A$5:$A$84,0)),0)</f>
        <v>65</v>
      </c>
      <c r="T309" s="7" t="n">
        <f aca="false">R309*S309</f>
        <v>313.80804</v>
      </c>
      <c r="U309" s="17" t="n">
        <f aca="false">IF(M309="BRK",R309/2000,IF(OR(M309="SNDC",M309="SNDM",M309="CRS",M309="KHG",M309="EARTH"),R309/100,""))</f>
        <v>0.04827816</v>
      </c>
    </row>
    <row r="310" customFormat="false" ht="15" hidden="false" customHeight="false" outlineLevel="0" collapsed="false">
      <c r="A310" s="6" t="s">
        <v>810</v>
      </c>
      <c r="B310" s="6" t="s">
        <v>811</v>
      </c>
      <c r="C310" s="6" t="s">
        <v>817</v>
      </c>
      <c r="D310" s="9"/>
      <c r="E310" s="9"/>
      <c r="F310" s="9"/>
      <c r="G310" s="9"/>
      <c r="H310" s="12"/>
      <c r="I310" s="6"/>
      <c r="J310" s="6" t="s">
        <v>820</v>
      </c>
      <c r="K310" s="6"/>
      <c r="L310" s="6"/>
      <c r="M310" s="6" t="s">
        <v>79</v>
      </c>
      <c r="N310" s="13" t="str">
        <f aca="false">IFERROR(INDEX(Rates!$B$5:$B$84,MATCH(M310,Rates!$A$5:$A$84,0)),"")</f>
        <v>Crush ¾" down, Sargodha (bajri)</v>
      </c>
      <c r="O310" s="12" t="n">
        <v>8.9404</v>
      </c>
      <c r="P310" s="14" t="str">
        <f aca="false">IFERROR(INDEX(Rates!$C$5:$C$84,MATCH(M310,Rates!$A$5:$A$84,0)),"")</f>
        <v>cft</v>
      </c>
      <c r="Q310" s="15" t="n">
        <f aca="false">IFERROR(INDEX(Rates!$D$5:$D$84,MATCH(M310,Rates!$A$5:$A$84,0)),0)</f>
        <v>0.05</v>
      </c>
      <c r="R310" s="12" t="n">
        <f aca="false">O310*(1+Q310)</f>
        <v>9.38742</v>
      </c>
      <c r="S310" s="16" t="n">
        <f aca="false">IFERROR(INDEX(Rates!$E$5:$E$84,MATCH(M310,Rates!$A$5:$A$84,0)),0)</f>
        <v>110</v>
      </c>
      <c r="T310" s="7" t="n">
        <f aca="false">R310*S310</f>
        <v>1032.6162</v>
      </c>
      <c r="U310" s="17" t="n">
        <f aca="false">IF(M310="BRK",R310/2000,IF(OR(M310="SNDC",M310="SNDM",M310="CRS",M310="KHG",M310="EARTH"),R310/100,""))</f>
        <v>0.0938742</v>
      </c>
    </row>
    <row r="311" customFormat="false" ht="22.35" hidden="false" customHeight="false" outlineLevel="0" collapsed="false">
      <c r="A311" s="6" t="s">
        <v>810</v>
      </c>
      <c r="B311" s="6" t="s">
        <v>811</v>
      </c>
      <c r="C311" s="6" t="s">
        <v>821</v>
      </c>
      <c r="D311" s="9" t="s">
        <v>818</v>
      </c>
      <c r="E311" s="9" t="s">
        <v>822</v>
      </c>
      <c r="F311" s="9" t="s">
        <v>823</v>
      </c>
      <c r="G311" s="9"/>
      <c r="H311" s="12" t="n">
        <v>15.57</v>
      </c>
      <c r="I311" s="6" t="s">
        <v>71</v>
      </c>
      <c r="J311" s="6" t="s">
        <v>820</v>
      </c>
      <c r="K311" s="6" t="s">
        <v>824</v>
      </c>
      <c r="L311" s="6"/>
      <c r="M311" s="6" t="s">
        <v>37</v>
      </c>
      <c r="N311" s="13" t="str">
        <f aca="false">IFERROR(INDEX(Rates!$B$5:$B$84,MATCH(M311,Rates!$A$5:$A$84,0)),"")</f>
        <v>Cement OPC, 50 kg bag (Lucky / Bestway / Maple Leaf)</v>
      </c>
      <c r="O311" s="12" t="n">
        <v>3.5555</v>
      </c>
      <c r="P311" s="14" t="str">
        <f aca="false">IFERROR(INDEX(Rates!$C$5:$C$84,MATCH(M311,Rates!$A$5:$A$84,0)),"")</f>
        <v>bag</v>
      </c>
      <c r="Q311" s="15" t="n">
        <f aca="false">IFERROR(INDEX(Rates!$D$5:$D$84,MATCH(M311,Rates!$A$5:$A$84,0)),0)</f>
        <v>0.03</v>
      </c>
      <c r="R311" s="12" t="n">
        <f aca="false">O311*(1+Q311)</f>
        <v>3.662165</v>
      </c>
      <c r="S311" s="16" t="n">
        <f aca="false">IFERROR(INDEX(Rates!$E$5:$E$84,MATCH(M311,Rates!$A$5:$A$84,0)),0)</f>
        <v>1560</v>
      </c>
      <c r="T311" s="7" t="n">
        <f aca="false">R311*S311</f>
        <v>5712.9774</v>
      </c>
      <c r="U311" s="17" t="str">
        <f aca="false">IF(M311="BRK",R311/2000,IF(OR(M311="SNDC",M311="SNDM",M311="CRS",M311="KHG",M311="EARTH"),R311/100,""))</f>
        <v/>
      </c>
    </row>
    <row r="312" customFormat="false" ht="15" hidden="false" customHeight="false" outlineLevel="0" collapsed="false">
      <c r="A312" s="6" t="s">
        <v>810</v>
      </c>
      <c r="B312" s="6" t="s">
        <v>811</v>
      </c>
      <c r="C312" s="6" t="s">
        <v>821</v>
      </c>
      <c r="D312" s="9"/>
      <c r="E312" s="9"/>
      <c r="F312" s="9"/>
      <c r="G312" s="9"/>
      <c r="H312" s="12"/>
      <c r="I312" s="6"/>
      <c r="J312" s="6" t="s">
        <v>820</v>
      </c>
      <c r="K312" s="6" t="s">
        <v>824</v>
      </c>
      <c r="L312" s="6"/>
      <c r="M312" s="6" t="s">
        <v>69</v>
      </c>
      <c r="N312" s="13" t="str">
        <f aca="false">IFERROR(INDEX(Rates!$B$5:$B$84,MATCH(M312,Rates!$A$5:$A$84,0)),"")</f>
        <v>Chenab sand (concrete, screed)</v>
      </c>
      <c r="O312" s="12" t="n">
        <v>6.6667</v>
      </c>
      <c r="P312" s="14" t="str">
        <f aca="false">IFERROR(INDEX(Rates!$C$5:$C$84,MATCH(M312,Rates!$A$5:$A$84,0)),"")</f>
        <v>cft</v>
      </c>
      <c r="Q312" s="15" t="n">
        <f aca="false">IFERROR(INDEX(Rates!$D$5:$D$84,MATCH(M312,Rates!$A$5:$A$84,0)),0)</f>
        <v>0.08</v>
      </c>
      <c r="R312" s="12" t="n">
        <f aca="false">O312*(1+Q312)</f>
        <v>7.200036</v>
      </c>
      <c r="S312" s="16" t="n">
        <f aca="false">IFERROR(INDEX(Rates!$E$5:$E$84,MATCH(M312,Rates!$A$5:$A$84,0)),0)</f>
        <v>65</v>
      </c>
      <c r="T312" s="7" t="n">
        <f aca="false">R312*S312</f>
        <v>468.00234</v>
      </c>
      <c r="U312" s="17" t="n">
        <f aca="false">IF(M312="BRK",R312/2000,IF(OR(M312="SNDC",M312="SNDM",M312="CRS",M312="KHG",M312="EARTH"),R312/100,""))</f>
        <v>0.07200036</v>
      </c>
    </row>
    <row r="313" customFormat="false" ht="15" hidden="false" customHeight="false" outlineLevel="0" collapsed="false">
      <c r="A313" s="6" t="s">
        <v>810</v>
      </c>
      <c r="B313" s="6" t="s">
        <v>811</v>
      </c>
      <c r="C313" s="6" t="s">
        <v>821</v>
      </c>
      <c r="D313" s="9"/>
      <c r="E313" s="9"/>
      <c r="F313" s="9"/>
      <c r="G313" s="9"/>
      <c r="H313" s="12"/>
      <c r="I313" s="6"/>
      <c r="J313" s="6" t="s">
        <v>820</v>
      </c>
      <c r="K313" s="6" t="s">
        <v>824</v>
      </c>
      <c r="L313" s="6"/>
      <c r="M313" s="6" t="s">
        <v>79</v>
      </c>
      <c r="N313" s="13" t="str">
        <f aca="false">IFERROR(INDEX(Rates!$B$5:$B$84,MATCH(M313,Rates!$A$5:$A$84,0)),"")</f>
        <v>Crush ¾" down, Sargodha (bajri)</v>
      </c>
      <c r="O313" s="12" t="n">
        <v>13.3333</v>
      </c>
      <c r="P313" s="14" t="str">
        <f aca="false">IFERROR(INDEX(Rates!$C$5:$C$84,MATCH(M313,Rates!$A$5:$A$84,0)),"")</f>
        <v>cft</v>
      </c>
      <c r="Q313" s="15" t="n">
        <f aca="false">IFERROR(INDEX(Rates!$D$5:$D$84,MATCH(M313,Rates!$A$5:$A$84,0)),0)</f>
        <v>0.05</v>
      </c>
      <c r="R313" s="12" t="n">
        <f aca="false">O313*(1+Q313)</f>
        <v>13.999965</v>
      </c>
      <c r="S313" s="16" t="n">
        <f aca="false">IFERROR(INDEX(Rates!$E$5:$E$84,MATCH(M313,Rates!$A$5:$A$84,0)),0)</f>
        <v>110</v>
      </c>
      <c r="T313" s="7" t="n">
        <f aca="false">R313*S313</f>
        <v>1539.99615</v>
      </c>
      <c r="U313" s="17" t="n">
        <f aca="false">IF(M313="BRK",R313/2000,IF(OR(M313="SNDC",M313="SNDM",M313="CRS",M313="KHG",M313="EARTH"),R313/100,""))</f>
        <v>0.13999965</v>
      </c>
    </row>
    <row r="314" customFormat="false" ht="22.35" hidden="false" customHeight="false" outlineLevel="0" collapsed="false">
      <c r="A314" s="6" t="s">
        <v>810</v>
      </c>
      <c r="B314" s="6" t="s">
        <v>811</v>
      </c>
      <c r="C314" s="6" t="s">
        <v>821</v>
      </c>
      <c r="D314" s="9"/>
      <c r="E314" s="9"/>
      <c r="F314" s="9"/>
      <c r="G314" s="9"/>
      <c r="H314" s="12"/>
      <c r="I314" s="6"/>
      <c r="J314" s="6" t="s">
        <v>820</v>
      </c>
      <c r="K314" s="6" t="s">
        <v>824</v>
      </c>
      <c r="L314" s="6"/>
      <c r="M314" s="6" t="s">
        <v>97</v>
      </c>
      <c r="N314" s="13" t="str">
        <f aca="false">IFERROR(INDEX(Rates!$B$5:$B$84,MATCH(M314,Rates!$A$5:$A$84,0)),"")</f>
        <v>Integral waterproofing compound (powder), 1 kg per bag of cement</v>
      </c>
      <c r="O314" s="12" t="n">
        <v>3.5555</v>
      </c>
      <c r="P314" s="14" t="str">
        <f aca="false">IFERROR(INDEX(Rates!$C$5:$C$84,MATCH(M314,Rates!$A$5:$A$84,0)),"")</f>
        <v>kg</v>
      </c>
      <c r="Q314" s="15" t="n">
        <f aca="false">IFERROR(INDEX(Rates!$D$5:$D$84,MATCH(M314,Rates!$A$5:$A$84,0)),0)</f>
        <v>0</v>
      </c>
      <c r="R314" s="12" t="n">
        <f aca="false">O314*(1+Q314)</f>
        <v>3.5555</v>
      </c>
      <c r="S314" s="16" t="n">
        <f aca="false">IFERROR(INDEX(Rates!$E$5:$E$84,MATCH(M314,Rates!$A$5:$A$84,0)),0)</f>
        <v>350</v>
      </c>
      <c r="T314" s="7" t="n">
        <f aca="false">R314*S314</f>
        <v>1244.425</v>
      </c>
      <c r="U314" s="17" t="str">
        <f aca="false">IF(M314="BRK",R314/2000,IF(OR(M314="SNDC",M314="SNDM",M314="CRS",M314="KHG",M314="EARTH"),R314/100,""))</f>
        <v/>
      </c>
    </row>
    <row r="315" customFormat="false" ht="22.35" hidden="false" customHeight="false" outlineLevel="0" collapsed="false">
      <c r="A315" s="6" t="s">
        <v>810</v>
      </c>
      <c r="B315" s="6" t="s">
        <v>811</v>
      </c>
      <c r="C315" s="6" t="s">
        <v>821</v>
      </c>
      <c r="D315" s="9"/>
      <c r="E315" s="9"/>
      <c r="F315" s="9"/>
      <c r="G315" s="9"/>
      <c r="H315" s="12"/>
      <c r="I315" s="6"/>
      <c r="J315" s="6" t="s">
        <v>820</v>
      </c>
      <c r="K315" s="6" t="s">
        <v>824</v>
      </c>
      <c r="L315" s="6"/>
      <c r="M315" s="6" t="s">
        <v>56</v>
      </c>
      <c r="N315" s="13" t="str">
        <f aca="false">IFERROR(INDEX(Rates!$B$5:$B$84,MATCH(M315,Rates!$A$5:$A$84,0)),"")</f>
        <v>Steel Grade 60 deformed, #3 (10 mm) (Amreli / Mughal / FF Steel)</v>
      </c>
      <c r="O315" s="12" t="n">
        <v>26.8193</v>
      </c>
      <c r="P315" s="14" t="str">
        <f aca="false">IFERROR(INDEX(Rates!$C$5:$C$84,MATCH(M315,Rates!$A$5:$A$84,0)),"")</f>
        <v>kg</v>
      </c>
      <c r="Q315" s="15" t="n">
        <f aca="false">IFERROR(INDEX(Rates!$D$5:$D$84,MATCH(M315,Rates!$A$5:$A$84,0)),0)</f>
        <v>0.04</v>
      </c>
      <c r="R315" s="12" t="n">
        <f aca="false">O315*(1+Q315)</f>
        <v>27.892072</v>
      </c>
      <c r="S315" s="16" t="n">
        <f aca="false">IFERROR(INDEX(Rates!$E$5:$E$84,MATCH(M315,Rates!$A$5:$A$84,0)),0)</f>
        <v>262</v>
      </c>
      <c r="T315" s="7" t="n">
        <f aca="false">R315*S315</f>
        <v>7307.722864</v>
      </c>
      <c r="U315" s="17" t="str">
        <f aca="false">IF(M315="BRK",R315/2000,IF(OR(M315="SNDC",M315="SNDM",M315="CRS",M315="KHG",M315="EARTH"),R315/100,""))</f>
        <v/>
      </c>
    </row>
    <row r="316" customFormat="false" ht="22.35" hidden="false" customHeight="false" outlineLevel="0" collapsed="false">
      <c r="A316" s="6" t="s">
        <v>810</v>
      </c>
      <c r="B316" s="6" t="s">
        <v>811</v>
      </c>
      <c r="C316" s="6" t="s">
        <v>825</v>
      </c>
      <c r="D316" s="9" t="s">
        <v>818</v>
      </c>
      <c r="E316" s="9" t="s">
        <v>826</v>
      </c>
      <c r="F316" s="9" t="s">
        <v>827</v>
      </c>
      <c r="G316" s="9" t="s">
        <v>828</v>
      </c>
      <c r="H316" s="12" t="n">
        <v>50.875</v>
      </c>
      <c r="I316" s="6" t="s">
        <v>71</v>
      </c>
      <c r="J316" s="6" t="s">
        <v>820</v>
      </c>
      <c r="K316" s="6" t="s">
        <v>824</v>
      </c>
      <c r="L316" s="6"/>
      <c r="M316" s="6" t="s">
        <v>37</v>
      </c>
      <c r="N316" s="13" t="str">
        <f aca="false">IFERROR(INDEX(Rates!$B$5:$B$84,MATCH(M316,Rates!$A$5:$A$84,0)),"")</f>
        <v>Cement OPC, 50 kg bag (Lucky / Bestway / Maple Leaf)</v>
      </c>
      <c r="O316" s="12" t="n">
        <v>11.618</v>
      </c>
      <c r="P316" s="14" t="str">
        <f aca="false">IFERROR(INDEX(Rates!$C$5:$C$84,MATCH(M316,Rates!$A$5:$A$84,0)),"")</f>
        <v>bag</v>
      </c>
      <c r="Q316" s="15" t="n">
        <f aca="false">IFERROR(INDEX(Rates!$D$5:$D$84,MATCH(M316,Rates!$A$5:$A$84,0)),0)</f>
        <v>0.03</v>
      </c>
      <c r="R316" s="12" t="n">
        <f aca="false">O316*(1+Q316)</f>
        <v>11.96654</v>
      </c>
      <c r="S316" s="16" t="n">
        <f aca="false">IFERROR(INDEX(Rates!$E$5:$E$84,MATCH(M316,Rates!$A$5:$A$84,0)),0)</f>
        <v>1560</v>
      </c>
      <c r="T316" s="7" t="n">
        <f aca="false">R316*S316</f>
        <v>18667.8024</v>
      </c>
      <c r="U316" s="17" t="str">
        <f aca="false">IF(M316="BRK",R316/2000,IF(OR(M316="SNDC",M316="SNDM",M316="CRS",M316="KHG",M316="EARTH"),R316/100,""))</f>
        <v/>
      </c>
    </row>
    <row r="317" customFormat="false" ht="15" hidden="false" customHeight="false" outlineLevel="0" collapsed="false">
      <c r="A317" s="6" t="s">
        <v>810</v>
      </c>
      <c r="B317" s="6" t="s">
        <v>811</v>
      </c>
      <c r="C317" s="6" t="s">
        <v>825</v>
      </c>
      <c r="D317" s="9"/>
      <c r="E317" s="9"/>
      <c r="F317" s="9"/>
      <c r="G317" s="9"/>
      <c r="H317" s="12"/>
      <c r="I317" s="6"/>
      <c r="J317" s="6" t="s">
        <v>820</v>
      </c>
      <c r="K317" s="6" t="s">
        <v>824</v>
      </c>
      <c r="L317" s="6"/>
      <c r="M317" s="6" t="s">
        <v>69</v>
      </c>
      <c r="N317" s="13" t="str">
        <f aca="false">IFERROR(INDEX(Rates!$B$5:$B$84,MATCH(M317,Rates!$A$5:$A$84,0)),"")</f>
        <v>Chenab sand (concrete, screed)</v>
      </c>
      <c r="O317" s="12" t="n">
        <v>21.7838</v>
      </c>
      <c r="P317" s="14" t="str">
        <f aca="false">IFERROR(INDEX(Rates!$C$5:$C$84,MATCH(M317,Rates!$A$5:$A$84,0)),"")</f>
        <v>cft</v>
      </c>
      <c r="Q317" s="15" t="n">
        <f aca="false">IFERROR(INDEX(Rates!$D$5:$D$84,MATCH(M317,Rates!$A$5:$A$84,0)),0)</f>
        <v>0.08</v>
      </c>
      <c r="R317" s="12" t="n">
        <f aca="false">O317*(1+Q317)</f>
        <v>23.526504</v>
      </c>
      <c r="S317" s="16" t="n">
        <f aca="false">IFERROR(INDEX(Rates!$E$5:$E$84,MATCH(M317,Rates!$A$5:$A$84,0)),0)</f>
        <v>65</v>
      </c>
      <c r="T317" s="7" t="n">
        <f aca="false">R317*S317</f>
        <v>1529.22276</v>
      </c>
      <c r="U317" s="17" t="n">
        <f aca="false">IF(M317="BRK",R317/2000,IF(OR(M317="SNDC",M317="SNDM",M317="CRS",M317="KHG",M317="EARTH"),R317/100,""))</f>
        <v>0.23526504</v>
      </c>
    </row>
    <row r="318" customFormat="false" ht="15" hidden="false" customHeight="false" outlineLevel="0" collapsed="false">
      <c r="A318" s="6" t="s">
        <v>810</v>
      </c>
      <c r="B318" s="6" t="s">
        <v>811</v>
      </c>
      <c r="C318" s="6" t="s">
        <v>825</v>
      </c>
      <c r="D318" s="9"/>
      <c r="E318" s="9"/>
      <c r="F318" s="9"/>
      <c r="G318" s="9"/>
      <c r="H318" s="12"/>
      <c r="I318" s="6"/>
      <c r="J318" s="6" t="s">
        <v>820</v>
      </c>
      <c r="K318" s="6" t="s">
        <v>824</v>
      </c>
      <c r="L318" s="6"/>
      <c r="M318" s="6" t="s">
        <v>79</v>
      </c>
      <c r="N318" s="13" t="str">
        <f aca="false">IFERROR(INDEX(Rates!$B$5:$B$84,MATCH(M318,Rates!$A$5:$A$84,0)),"")</f>
        <v>Crush ¾" down, Sargodha (bajri)</v>
      </c>
      <c r="O318" s="12" t="n">
        <v>43.5675</v>
      </c>
      <c r="P318" s="14" t="str">
        <f aca="false">IFERROR(INDEX(Rates!$C$5:$C$84,MATCH(M318,Rates!$A$5:$A$84,0)),"")</f>
        <v>cft</v>
      </c>
      <c r="Q318" s="15" t="n">
        <f aca="false">IFERROR(INDEX(Rates!$D$5:$D$84,MATCH(M318,Rates!$A$5:$A$84,0)),0)</f>
        <v>0.05</v>
      </c>
      <c r="R318" s="12" t="n">
        <f aca="false">O318*(1+Q318)</f>
        <v>45.745875</v>
      </c>
      <c r="S318" s="16" t="n">
        <f aca="false">IFERROR(INDEX(Rates!$E$5:$E$84,MATCH(M318,Rates!$A$5:$A$84,0)),0)</f>
        <v>110</v>
      </c>
      <c r="T318" s="7" t="n">
        <f aca="false">R318*S318</f>
        <v>5032.04625</v>
      </c>
      <c r="U318" s="17" t="n">
        <f aca="false">IF(M318="BRK",R318/2000,IF(OR(M318="SNDC",M318="SNDM",M318="CRS",M318="KHG",M318="EARTH"),R318/100,""))</f>
        <v>0.45745875</v>
      </c>
    </row>
    <row r="319" customFormat="false" ht="22.35" hidden="false" customHeight="false" outlineLevel="0" collapsed="false">
      <c r="A319" s="6" t="s">
        <v>810</v>
      </c>
      <c r="B319" s="6" t="s">
        <v>811</v>
      </c>
      <c r="C319" s="6" t="s">
        <v>825</v>
      </c>
      <c r="D319" s="9"/>
      <c r="E319" s="9"/>
      <c r="F319" s="9"/>
      <c r="G319" s="9"/>
      <c r="H319" s="12"/>
      <c r="I319" s="6"/>
      <c r="J319" s="6" t="s">
        <v>820</v>
      </c>
      <c r="K319" s="6" t="s">
        <v>824</v>
      </c>
      <c r="L319" s="6"/>
      <c r="M319" s="6" t="s">
        <v>97</v>
      </c>
      <c r="N319" s="13" t="str">
        <f aca="false">IFERROR(INDEX(Rates!$B$5:$B$84,MATCH(M319,Rates!$A$5:$A$84,0)),"")</f>
        <v>Integral waterproofing compound (powder), 1 kg per bag of cement</v>
      </c>
      <c r="O319" s="12" t="n">
        <v>11.618</v>
      </c>
      <c r="P319" s="14" t="str">
        <f aca="false">IFERROR(INDEX(Rates!$C$5:$C$84,MATCH(M319,Rates!$A$5:$A$84,0)),"")</f>
        <v>kg</v>
      </c>
      <c r="Q319" s="15" t="n">
        <f aca="false">IFERROR(INDEX(Rates!$D$5:$D$84,MATCH(M319,Rates!$A$5:$A$84,0)),0)</f>
        <v>0</v>
      </c>
      <c r="R319" s="12" t="n">
        <f aca="false">O319*(1+Q319)</f>
        <v>11.618</v>
      </c>
      <c r="S319" s="16" t="n">
        <f aca="false">IFERROR(INDEX(Rates!$E$5:$E$84,MATCH(M319,Rates!$A$5:$A$84,0)),0)</f>
        <v>350</v>
      </c>
      <c r="T319" s="7" t="n">
        <f aca="false">R319*S319</f>
        <v>4066.3</v>
      </c>
      <c r="U319" s="17" t="str">
        <f aca="false">IF(M319="BRK",R319/2000,IF(OR(M319="SNDC",M319="SNDM",M319="CRS",M319="KHG",M319="EARTH"),R319/100,""))</f>
        <v/>
      </c>
    </row>
    <row r="320" customFormat="false" ht="22.35" hidden="false" customHeight="false" outlineLevel="0" collapsed="false">
      <c r="A320" s="6" t="s">
        <v>810</v>
      </c>
      <c r="B320" s="6" t="s">
        <v>811</v>
      </c>
      <c r="C320" s="6" t="s">
        <v>825</v>
      </c>
      <c r="D320" s="9"/>
      <c r="E320" s="9"/>
      <c r="F320" s="9"/>
      <c r="G320" s="9"/>
      <c r="H320" s="12"/>
      <c r="I320" s="6"/>
      <c r="J320" s="6" t="s">
        <v>820</v>
      </c>
      <c r="K320" s="6" t="s">
        <v>824</v>
      </c>
      <c r="L320" s="6"/>
      <c r="M320" s="6" t="s">
        <v>56</v>
      </c>
      <c r="N320" s="13" t="str">
        <f aca="false">IFERROR(INDEX(Rates!$B$5:$B$84,MATCH(M320,Rates!$A$5:$A$84,0)),"")</f>
        <v>Steel Grade 60 deformed, #3 (10 mm) (Amreli / Mughal / FF Steel)</v>
      </c>
      <c r="O320" s="12" t="n">
        <v>87.322</v>
      </c>
      <c r="P320" s="14" t="str">
        <f aca="false">IFERROR(INDEX(Rates!$C$5:$C$84,MATCH(M320,Rates!$A$5:$A$84,0)),"")</f>
        <v>kg</v>
      </c>
      <c r="Q320" s="15" t="n">
        <f aca="false">IFERROR(INDEX(Rates!$D$5:$D$84,MATCH(M320,Rates!$A$5:$A$84,0)),0)</f>
        <v>0.04</v>
      </c>
      <c r="R320" s="12" t="n">
        <f aca="false">O320*(1+Q320)</f>
        <v>90.81488</v>
      </c>
      <c r="S320" s="16" t="n">
        <f aca="false">IFERROR(INDEX(Rates!$E$5:$E$84,MATCH(M320,Rates!$A$5:$A$84,0)),0)</f>
        <v>262</v>
      </c>
      <c r="T320" s="7" t="n">
        <f aca="false">R320*S320</f>
        <v>23793.49856</v>
      </c>
      <c r="U320" s="17" t="str">
        <f aca="false">IF(M320="BRK",R320/2000,IF(OR(M320="SNDC",M320="SNDM",M320="CRS",M320="KHG",M320="EARTH"),R320/100,""))</f>
        <v/>
      </c>
    </row>
    <row r="321" customFormat="false" ht="22.35" hidden="false" customHeight="false" outlineLevel="0" collapsed="false">
      <c r="A321" s="6" t="s">
        <v>810</v>
      </c>
      <c r="B321" s="6" t="s">
        <v>811</v>
      </c>
      <c r="C321" s="6" t="s">
        <v>829</v>
      </c>
      <c r="D321" s="9" t="s">
        <v>818</v>
      </c>
      <c r="E321" s="9" t="s">
        <v>830</v>
      </c>
      <c r="F321" s="9" t="s">
        <v>831</v>
      </c>
      <c r="G321" s="9"/>
      <c r="H321" s="12" t="n">
        <v>9.459</v>
      </c>
      <c r="I321" s="6" t="s">
        <v>71</v>
      </c>
      <c r="J321" s="6" t="s">
        <v>820</v>
      </c>
      <c r="K321" s="6" t="s">
        <v>824</v>
      </c>
      <c r="L321" s="6"/>
      <c r="M321" s="6" t="s">
        <v>37</v>
      </c>
      <c r="N321" s="13" t="str">
        <f aca="false">IFERROR(INDEX(Rates!$B$5:$B$84,MATCH(M321,Rates!$A$5:$A$84,0)),"")</f>
        <v>Cement OPC, 50 kg bag (Lucky / Bestway / Maple Leaf)</v>
      </c>
      <c r="O321" s="12" t="n">
        <v>2.1601</v>
      </c>
      <c r="P321" s="14" t="str">
        <f aca="false">IFERROR(INDEX(Rates!$C$5:$C$84,MATCH(M321,Rates!$A$5:$A$84,0)),"")</f>
        <v>bag</v>
      </c>
      <c r="Q321" s="15" t="n">
        <f aca="false">IFERROR(INDEX(Rates!$D$5:$D$84,MATCH(M321,Rates!$A$5:$A$84,0)),0)</f>
        <v>0.03</v>
      </c>
      <c r="R321" s="12" t="n">
        <f aca="false">O321*(1+Q321)</f>
        <v>2.224903</v>
      </c>
      <c r="S321" s="16" t="n">
        <f aca="false">IFERROR(INDEX(Rates!$E$5:$E$84,MATCH(M321,Rates!$A$5:$A$84,0)),0)</f>
        <v>1560</v>
      </c>
      <c r="T321" s="7" t="n">
        <f aca="false">R321*S321</f>
        <v>3470.84868</v>
      </c>
      <c r="U321" s="17" t="str">
        <f aca="false">IF(M321="BRK",R321/2000,IF(OR(M321="SNDC",M321="SNDM",M321="CRS",M321="KHG",M321="EARTH"),R321/100,""))</f>
        <v/>
      </c>
    </row>
    <row r="322" customFormat="false" ht="15" hidden="false" customHeight="false" outlineLevel="0" collapsed="false">
      <c r="A322" s="6" t="s">
        <v>810</v>
      </c>
      <c r="B322" s="6" t="s">
        <v>811</v>
      </c>
      <c r="C322" s="6" t="s">
        <v>829</v>
      </c>
      <c r="D322" s="9"/>
      <c r="E322" s="9"/>
      <c r="F322" s="9"/>
      <c r="G322" s="9"/>
      <c r="H322" s="12"/>
      <c r="I322" s="6"/>
      <c r="J322" s="6" t="s">
        <v>820</v>
      </c>
      <c r="K322" s="6" t="s">
        <v>824</v>
      </c>
      <c r="L322" s="6"/>
      <c r="M322" s="6" t="s">
        <v>69</v>
      </c>
      <c r="N322" s="13" t="str">
        <f aca="false">IFERROR(INDEX(Rates!$B$5:$B$84,MATCH(M322,Rates!$A$5:$A$84,0)),"")</f>
        <v>Chenab sand (concrete, screed)</v>
      </c>
      <c r="O322" s="12" t="n">
        <v>4.0502</v>
      </c>
      <c r="P322" s="14" t="str">
        <f aca="false">IFERROR(INDEX(Rates!$C$5:$C$84,MATCH(M322,Rates!$A$5:$A$84,0)),"")</f>
        <v>cft</v>
      </c>
      <c r="Q322" s="15" t="n">
        <f aca="false">IFERROR(INDEX(Rates!$D$5:$D$84,MATCH(M322,Rates!$A$5:$A$84,0)),0)</f>
        <v>0.08</v>
      </c>
      <c r="R322" s="12" t="n">
        <f aca="false">O322*(1+Q322)</f>
        <v>4.374216</v>
      </c>
      <c r="S322" s="16" t="n">
        <f aca="false">IFERROR(INDEX(Rates!$E$5:$E$84,MATCH(M322,Rates!$A$5:$A$84,0)),0)</f>
        <v>65</v>
      </c>
      <c r="T322" s="7" t="n">
        <f aca="false">R322*S322</f>
        <v>284.32404</v>
      </c>
      <c r="U322" s="17" t="n">
        <f aca="false">IF(M322="BRK",R322/2000,IF(OR(M322="SNDC",M322="SNDM",M322="CRS",M322="KHG",M322="EARTH"),R322/100,""))</f>
        <v>0.04374216</v>
      </c>
    </row>
    <row r="323" customFormat="false" ht="15" hidden="false" customHeight="false" outlineLevel="0" collapsed="false">
      <c r="A323" s="6" t="s">
        <v>810</v>
      </c>
      <c r="B323" s="6" t="s">
        <v>811</v>
      </c>
      <c r="C323" s="6" t="s">
        <v>829</v>
      </c>
      <c r="D323" s="9"/>
      <c r="E323" s="9"/>
      <c r="F323" s="9"/>
      <c r="G323" s="9"/>
      <c r="H323" s="12"/>
      <c r="I323" s="6"/>
      <c r="J323" s="6" t="s">
        <v>820</v>
      </c>
      <c r="K323" s="6" t="s">
        <v>824</v>
      </c>
      <c r="L323" s="6"/>
      <c r="M323" s="6" t="s">
        <v>79</v>
      </c>
      <c r="N323" s="13" t="str">
        <f aca="false">IFERROR(INDEX(Rates!$B$5:$B$84,MATCH(M323,Rates!$A$5:$A$84,0)),"")</f>
        <v>Crush ¾" down, Sargodha (bajri)</v>
      </c>
      <c r="O323" s="12" t="n">
        <v>8.1004</v>
      </c>
      <c r="P323" s="14" t="str">
        <f aca="false">IFERROR(INDEX(Rates!$C$5:$C$84,MATCH(M323,Rates!$A$5:$A$84,0)),"")</f>
        <v>cft</v>
      </c>
      <c r="Q323" s="15" t="n">
        <f aca="false">IFERROR(INDEX(Rates!$D$5:$D$84,MATCH(M323,Rates!$A$5:$A$84,0)),0)</f>
        <v>0.05</v>
      </c>
      <c r="R323" s="12" t="n">
        <f aca="false">O323*(1+Q323)</f>
        <v>8.50542</v>
      </c>
      <c r="S323" s="16" t="n">
        <f aca="false">IFERROR(INDEX(Rates!$E$5:$E$84,MATCH(M323,Rates!$A$5:$A$84,0)),0)</f>
        <v>110</v>
      </c>
      <c r="T323" s="7" t="n">
        <f aca="false">R323*S323</f>
        <v>935.5962</v>
      </c>
      <c r="U323" s="17" t="n">
        <f aca="false">IF(M323="BRK",R323/2000,IF(OR(M323="SNDC",M323="SNDM",M323="CRS",M323="KHG",M323="EARTH"),R323/100,""))</f>
        <v>0.0850542</v>
      </c>
    </row>
    <row r="324" customFormat="false" ht="22.35" hidden="false" customHeight="false" outlineLevel="0" collapsed="false">
      <c r="A324" s="6" t="s">
        <v>810</v>
      </c>
      <c r="B324" s="6" t="s">
        <v>811</v>
      </c>
      <c r="C324" s="6" t="s">
        <v>829</v>
      </c>
      <c r="D324" s="9"/>
      <c r="E324" s="9"/>
      <c r="F324" s="9"/>
      <c r="G324" s="9"/>
      <c r="H324" s="12"/>
      <c r="I324" s="6"/>
      <c r="J324" s="6" t="s">
        <v>820</v>
      </c>
      <c r="K324" s="6" t="s">
        <v>824</v>
      </c>
      <c r="L324" s="6"/>
      <c r="M324" s="6" t="s">
        <v>97</v>
      </c>
      <c r="N324" s="13" t="str">
        <f aca="false">IFERROR(INDEX(Rates!$B$5:$B$84,MATCH(M324,Rates!$A$5:$A$84,0)),"")</f>
        <v>Integral waterproofing compound (powder), 1 kg per bag of cement</v>
      </c>
      <c r="O324" s="12" t="n">
        <v>2.1601</v>
      </c>
      <c r="P324" s="14" t="str">
        <f aca="false">IFERROR(INDEX(Rates!$C$5:$C$84,MATCH(M324,Rates!$A$5:$A$84,0)),"")</f>
        <v>kg</v>
      </c>
      <c r="Q324" s="15" t="n">
        <f aca="false">IFERROR(INDEX(Rates!$D$5:$D$84,MATCH(M324,Rates!$A$5:$A$84,0)),0)</f>
        <v>0</v>
      </c>
      <c r="R324" s="12" t="n">
        <f aca="false">O324*(1+Q324)</f>
        <v>2.1601</v>
      </c>
      <c r="S324" s="16" t="n">
        <f aca="false">IFERROR(INDEX(Rates!$E$5:$E$84,MATCH(M324,Rates!$A$5:$A$84,0)),0)</f>
        <v>350</v>
      </c>
      <c r="T324" s="7" t="n">
        <f aca="false">R324*S324</f>
        <v>756.035</v>
      </c>
      <c r="U324" s="17" t="str">
        <f aca="false">IF(M324="BRK",R324/2000,IF(OR(M324="SNDC",M324="SNDM",M324="CRS",M324="KHG",M324="EARTH"),R324/100,""))</f>
        <v/>
      </c>
    </row>
    <row r="325" customFormat="false" ht="22.35" hidden="false" customHeight="false" outlineLevel="0" collapsed="false">
      <c r="A325" s="6" t="s">
        <v>810</v>
      </c>
      <c r="B325" s="6" t="s">
        <v>811</v>
      </c>
      <c r="C325" s="6" t="s">
        <v>829</v>
      </c>
      <c r="D325" s="9"/>
      <c r="E325" s="9"/>
      <c r="F325" s="9"/>
      <c r="G325" s="9"/>
      <c r="H325" s="12"/>
      <c r="I325" s="6"/>
      <c r="J325" s="6" t="s">
        <v>820</v>
      </c>
      <c r="K325" s="6" t="s">
        <v>824</v>
      </c>
      <c r="L325" s="6"/>
      <c r="M325" s="6" t="s">
        <v>56</v>
      </c>
      <c r="N325" s="13" t="str">
        <f aca="false">IFERROR(INDEX(Rates!$B$5:$B$84,MATCH(M325,Rates!$A$5:$A$84,0)),"")</f>
        <v>Steel Grade 60 deformed, #3 (10 mm) (Amreli / Mughal / FF Steel)</v>
      </c>
      <c r="O325" s="12" t="n">
        <v>20.4661</v>
      </c>
      <c r="P325" s="14" t="str">
        <f aca="false">IFERROR(INDEX(Rates!$C$5:$C$84,MATCH(M325,Rates!$A$5:$A$84,0)),"")</f>
        <v>kg</v>
      </c>
      <c r="Q325" s="15" t="n">
        <f aca="false">IFERROR(INDEX(Rates!$D$5:$D$84,MATCH(M325,Rates!$A$5:$A$84,0)),0)</f>
        <v>0.04</v>
      </c>
      <c r="R325" s="12" t="n">
        <f aca="false">O325*(1+Q325)</f>
        <v>21.284744</v>
      </c>
      <c r="S325" s="16" t="n">
        <f aca="false">IFERROR(INDEX(Rates!$E$5:$E$84,MATCH(M325,Rates!$A$5:$A$84,0)),0)</f>
        <v>262</v>
      </c>
      <c r="T325" s="7" t="n">
        <f aca="false">R325*S325</f>
        <v>5576.602928</v>
      </c>
      <c r="U325" s="17" t="str">
        <f aca="false">IF(M325="BRK",R325/2000,IF(OR(M325="SNDC",M325="SNDM",M325="CRS",M325="KHG",M325="EARTH"),R325/100,""))</f>
        <v/>
      </c>
    </row>
    <row r="326" customFormat="false" ht="22.35" hidden="false" customHeight="false" outlineLevel="0" collapsed="false">
      <c r="A326" s="6" t="s">
        <v>810</v>
      </c>
      <c r="B326" s="6" t="s">
        <v>811</v>
      </c>
      <c r="C326" s="6" t="s">
        <v>832</v>
      </c>
      <c r="D326" s="9" t="s">
        <v>818</v>
      </c>
      <c r="E326" s="9" t="s">
        <v>833</v>
      </c>
      <c r="F326" s="9" t="s">
        <v>834</v>
      </c>
      <c r="G326" s="9"/>
      <c r="H326" s="12" t="n">
        <v>20</v>
      </c>
      <c r="I326" s="6" t="s">
        <v>118</v>
      </c>
      <c r="J326" s="6" t="s">
        <v>820</v>
      </c>
      <c r="K326" s="6"/>
      <c r="L326" s="6"/>
      <c r="M326" s="6" t="s">
        <v>116</v>
      </c>
      <c r="N326" s="13" t="str">
        <f aca="false">IFERROR(INDEX(Rates!$B$5:$B$84,MATCH(M326,Rates!$A$5:$A$84,0)),"")</f>
        <v>PVC water-stop 150 mm</v>
      </c>
      <c r="O326" s="12" t="n">
        <v>20</v>
      </c>
      <c r="P326" s="14" t="str">
        <f aca="false">IFERROR(INDEX(Rates!$C$5:$C$84,MATCH(M326,Rates!$A$5:$A$84,0)),"")</f>
        <v>ft</v>
      </c>
      <c r="Q326" s="15" t="n">
        <f aca="false">IFERROR(INDEX(Rates!$D$5:$D$84,MATCH(M326,Rates!$A$5:$A$84,0)),0)</f>
        <v>0.05</v>
      </c>
      <c r="R326" s="12" t="n">
        <f aca="false">O326*(1+Q326)</f>
        <v>21</v>
      </c>
      <c r="S326" s="16" t="n">
        <f aca="false">IFERROR(INDEX(Rates!$E$5:$E$84,MATCH(M326,Rates!$A$5:$A$84,0)),0)</f>
        <v>650</v>
      </c>
      <c r="T326" s="7" t="n">
        <f aca="false">R326*S326</f>
        <v>13650</v>
      </c>
      <c r="U326" s="17" t="str">
        <f aca="false">IF(M326="BRK",R326/2000,IF(OR(M326="SNDC",M326="SNDM",M326="CRS",M326="KHG",M326="EARTH"),R326/100,""))</f>
        <v/>
      </c>
    </row>
    <row r="327" customFormat="false" ht="22.35" hidden="false" customHeight="false" outlineLevel="0" collapsed="false">
      <c r="A327" s="6" t="s">
        <v>810</v>
      </c>
      <c r="B327" s="6" t="s">
        <v>811</v>
      </c>
      <c r="C327" s="6" t="s">
        <v>835</v>
      </c>
      <c r="D327" s="9" t="s">
        <v>818</v>
      </c>
      <c r="E327" s="9" t="s">
        <v>836</v>
      </c>
      <c r="F327" s="9" t="s">
        <v>837</v>
      </c>
      <c r="G327" s="9" t="s">
        <v>838</v>
      </c>
      <c r="H327" s="12" t="n">
        <v>123.779</v>
      </c>
      <c r="I327" s="6" t="s">
        <v>394</v>
      </c>
      <c r="J327" s="6" t="s">
        <v>820</v>
      </c>
      <c r="K327" s="6"/>
      <c r="L327" s="6"/>
      <c r="M327" s="6" t="s">
        <v>114</v>
      </c>
      <c r="N327" s="13" t="str">
        <f aca="false">IFERROR(INDEX(Rates!$B$5:$B$84,MATCH(M327,Rates!$A$5:$A$84,0)),"")</f>
        <v>Food-safe (potable-water) cementitious coating</v>
      </c>
      <c r="O327" s="12" t="n">
        <v>34.4983</v>
      </c>
      <c r="P327" s="14" t="str">
        <f aca="false">IFERROR(INDEX(Rates!$C$5:$C$84,MATCH(M327,Rates!$A$5:$A$84,0)),"")</f>
        <v>kg</v>
      </c>
      <c r="Q327" s="15" t="n">
        <f aca="false">IFERROR(INDEX(Rates!$D$5:$D$84,MATCH(M327,Rates!$A$5:$A$84,0)),0)</f>
        <v>0.05</v>
      </c>
      <c r="R327" s="12" t="n">
        <f aca="false">O327*(1+Q327)</f>
        <v>36.223215</v>
      </c>
      <c r="S327" s="16" t="n">
        <f aca="false">IFERROR(INDEX(Rates!$E$5:$E$84,MATCH(M327,Rates!$A$5:$A$84,0)),0)</f>
        <v>550</v>
      </c>
      <c r="T327" s="7" t="n">
        <f aca="false">R327*S327</f>
        <v>19922.76825</v>
      </c>
      <c r="U327" s="17" t="str">
        <f aca="false">IF(M327="BRK",R327/2000,IF(OR(M327="SNDC",M327="SNDM",M327="CRS",M327="KHG",M327="EARTH"),R327/100,""))</f>
        <v/>
      </c>
    </row>
    <row r="328" customFormat="false" ht="22.35" hidden="false" customHeight="false" outlineLevel="0" collapsed="false">
      <c r="A328" s="6" t="s">
        <v>810</v>
      </c>
      <c r="B328" s="6" t="s">
        <v>811</v>
      </c>
      <c r="C328" s="6" t="s">
        <v>839</v>
      </c>
      <c r="D328" s="9" t="s">
        <v>818</v>
      </c>
      <c r="E328" s="9" t="s">
        <v>840</v>
      </c>
      <c r="F328" s="9" t="s">
        <v>841</v>
      </c>
      <c r="G328" s="9"/>
      <c r="H328" s="12" t="n">
        <v>110.7</v>
      </c>
      <c r="I328" s="6" t="s">
        <v>394</v>
      </c>
      <c r="J328" s="6" t="s">
        <v>820</v>
      </c>
      <c r="K328" s="6"/>
      <c r="L328" s="6"/>
      <c r="M328" s="6" t="s">
        <v>93</v>
      </c>
      <c r="N328" s="13" t="str">
        <f aca="false">IFERROR(INDEX(Rates!$B$5:$B$84,MATCH(M328,Rates!$A$5:$A$84,0)),"")</f>
        <v>Hot bitumen 60/70 (drum)</v>
      </c>
      <c r="O328" s="12" t="n">
        <v>22.14</v>
      </c>
      <c r="P328" s="14" t="str">
        <f aca="false">IFERROR(INDEX(Rates!$C$5:$C$84,MATCH(M328,Rates!$A$5:$A$84,0)),"")</f>
        <v>kg</v>
      </c>
      <c r="Q328" s="15" t="n">
        <f aca="false">IFERROR(INDEX(Rates!$D$5:$D$84,MATCH(M328,Rates!$A$5:$A$84,0)),0)</f>
        <v>0.05</v>
      </c>
      <c r="R328" s="12" t="n">
        <f aca="false">O328*(1+Q328)</f>
        <v>23.247</v>
      </c>
      <c r="S328" s="16" t="n">
        <f aca="false">IFERROR(INDEX(Rates!$E$5:$E$84,MATCH(M328,Rates!$A$5:$A$84,0)),0)</f>
        <v>280</v>
      </c>
      <c r="T328" s="7" t="n">
        <f aca="false">R328*S328</f>
        <v>6509.16</v>
      </c>
      <c r="U328" s="17" t="str">
        <f aca="false">IF(M328="BRK",R328/2000,IF(OR(M328="SNDC",M328="SNDM",M328="CRS",M328="KHG",M328="EARTH"),R328/100,""))</f>
        <v/>
      </c>
    </row>
    <row r="329" customFormat="false" ht="22.35" hidden="false" customHeight="false" outlineLevel="0" collapsed="false">
      <c r="A329" s="6" t="s">
        <v>810</v>
      </c>
      <c r="B329" s="6" t="s">
        <v>811</v>
      </c>
      <c r="C329" s="6" t="s">
        <v>842</v>
      </c>
      <c r="D329" s="9" t="s">
        <v>818</v>
      </c>
      <c r="E329" s="9" t="s">
        <v>843</v>
      </c>
      <c r="F329" s="9" t="s">
        <v>844</v>
      </c>
      <c r="G329" s="9"/>
      <c r="H329" s="12" t="n">
        <v>1</v>
      </c>
      <c r="I329" s="6" t="s">
        <v>45</v>
      </c>
      <c r="J329" s="6" t="s">
        <v>820</v>
      </c>
      <c r="K329" s="6"/>
      <c r="L329" s="6"/>
      <c r="M329" s="6" t="s">
        <v>153</v>
      </c>
      <c r="N329" s="13" t="str">
        <f aca="false">IFERROR(INDEX(Rates!$B$5:$B$84,MATCH(M329,Rates!$A$5:$A$84,0)),"")</f>
        <v>Lockable steel / CI tank cover 2' x 2'</v>
      </c>
      <c r="O329" s="12" t="n">
        <v>1</v>
      </c>
      <c r="P329" s="14" t="str">
        <f aca="false">IFERROR(INDEX(Rates!$C$5:$C$84,MATCH(M329,Rates!$A$5:$A$84,0)),"")</f>
        <v>nos</v>
      </c>
      <c r="Q329" s="15" t="n">
        <f aca="false">IFERROR(INDEX(Rates!$D$5:$D$84,MATCH(M329,Rates!$A$5:$A$84,0)),0)</f>
        <v>0</v>
      </c>
      <c r="R329" s="12" t="n">
        <f aca="false">O329*(1+Q329)</f>
        <v>1</v>
      </c>
      <c r="S329" s="16" t="n">
        <f aca="false">IFERROR(INDEX(Rates!$E$5:$E$84,MATCH(M329,Rates!$A$5:$A$84,0)),0)</f>
        <v>12000</v>
      </c>
      <c r="T329" s="7" t="n">
        <f aca="false">R329*S329</f>
        <v>12000</v>
      </c>
      <c r="U329" s="17" t="str">
        <f aca="false">IF(M329="BRK",R329/2000,IF(OR(M329="SNDC",M329="SNDM",M329="CRS",M329="KHG",M329="EARTH"),R329/100,""))</f>
        <v/>
      </c>
    </row>
    <row r="330" customFormat="false" ht="22.35" hidden="false" customHeight="false" outlineLevel="0" collapsed="false">
      <c r="A330" s="6" t="s">
        <v>810</v>
      </c>
      <c r="B330" s="6" t="s">
        <v>811</v>
      </c>
      <c r="C330" s="6" t="s">
        <v>845</v>
      </c>
      <c r="D330" s="9" t="s">
        <v>818</v>
      </c>
      <c r="E330" s="9" t="s">
        <v>808</v>
      </c>
      <c r="F330" s="9"/>
      <c r="G330" s="9" t="s">
        <v>846</v>
      </c>
      <c r="H330" s="12" t="n">
        <v>127</v>
      </c>
      <c r="I330" s="6" t="s">
        <v>71</v>
      </c>
      <c r="J330" s="6" t="s">
        <v>816</v>
      </c>
      <c r="K330" s="6"/>
      <c r="L330" s="6" t="s">
        <v>403</v>
      </c>
      <c r="M330" s="6"/>
      <c r="N330" s="13"/>
      <c r="O330" s="12"/>
      <c r="P330" s="14"/>
      <c r="Q330" s="15"/>
      <c r="R330" s="12"/>
      <c r="S330" s="16"/>
      <c r="T330" s="7" t="n">
        <v>0</v>
      </c>
      <c r="U330" s="17"/>
    </row>
    <row r="331" customFormat="false" ht="22.35" hidden="false" customHeight="false" outlineLevel="0" collapsed="false">
      <c r="A331" s="6" t="s">
        <v>810</v>
      </c>
      <c r="B331" s="6" t="s">
        <v>811</v>
      </c>
      <c r="C331" s="6" t="s">
        <v>847</v>
      </c>
      <c r="D331" s="9" t="s">
        <v>848</v>
      </c>
      <c r="E331" s="9" t="s">
        <v>849</v>
      </c>
      <c r="F331" s="9" t="s">
        <v>850</v>
      </c>
      <c r="G331" s="9"/>
      <c r="H331" s="12" t="n">
        <v>8.333</v>
      </c>
      <c r="I331" s="6" t="s">
        <v>71</v>
      </c>
      <c r="J331" s="6" t="s">
        <v>851</v>
      </c>
      <c r="K331" s="6" t="s">
        <v>852</v>
      </c>
      <c r="L331" s="6"/>
      <c r="M331" s="6" t="s">
        <v>37</v>
      </c>
      <c r="N331" s="13" t="str">
        <f aca="false">IFERROR(INDEX(Rates!$B$5:$B$84,MATCH(M331,Rates!$A$5:$A$84,0)),"")</f>
        <v>Cement OPC, 50 kg bag (Lucky / Bestway / Maple Leaf)</v>
      </c>
      <c r="O331" s="12" t="n">
        <v>1.4952</v>
      </c>
      <c r="P331" s="14" t="str">
        <f aca="false">IFERROR(INDEX(Rates!$C$5:$C$84,MATCH(M331,Rates!$A$5:$A$84,0)),"")</f>
        <v>bag</v>
      </c>
      <c r="Q331" s="15" t="n">
        <f aca="false">IFERROR(INDEX(Rates!$D$5:$D$84,MATCH(M331,Rates!$A$5:$A$84,0)),0)</f>
        <v>0.03</v>
      </c>
      <c r="R331" s="12" t="n">
        <f aca="false">O331*(1+Q331)</f>
        <v>1.540056</v>
      </c>
      <c r="S331" s="16" t="n">
        <f aca="false">IFERROR(INDEX(Rates!$E$5:$E$84,MATCH(M331,Rates!$A$5:$A$84,0)),0)</f>
        <v>1560</v>
      </c>
      <c r="T331" s="7" t="n">
        <f aca="false">R331*S331</f>
        <v>2402.48736</v>
      </c>
      <c r="U331" s="17" t="str">
        <f aca="false">IF(M331="BRK",R331/2000,IF(OR(M331="SNDC",M331="SNDM",M331="CRS",M331="KHG",M331="EARTH"),R331/100,""))</f>
        <v/>
      </c>
    </row>
    <row r="332" customFormat="false" ht="15" hidden="false" customHeight="false" outlineLevel="0" collapsed="false">
      <c r="A332" s="6" t="s">
        <v>810</v>
      </c>
      <c r="B332" s="6" t="s">
        <v>811</v>
      </c>
      <c r="C332" s="6" t="s">
        <v>847</v>
      </c>
      <c r="D332" s="9"/>
      <c r="E332" s="9"/>
      <c r="F332" s="9"/>
      <c r="G332" s="9"/>
      <c r="H332" s="12"/>
      <c r="I332" s="6"/>
      <c r="J332" s="6" t="s">
        <v>851</v>
      </c>
      <c r="K332" s="6" t="s">
        <v>852</v>
      </c>
      <c r="L332" s="6"/>
      <c r="M332" s="6" t="s">
        <v>69</v>
      </c>
      <c r="N332" s="13" t="str">
        <f aca="false">IFERROR(INDEX(Rates!$B$5:$B$84,MATCH(M332,Rates!$A$5:$A$84,0)),"")</f>
        <v>Chenab sand (concrete, screed)</v>
      </c>
      <c r="O332" s="12" t="n">
        <v>3.7381</v>
      </c>
      <c r="P332" s="14" t="str">
        <f aca="false">IFERROR(INDEX(Rates!$C$5:$C$84,MATCH(M332,Rates!$A$5:$A$84,0)),"")</f>
        <v>cft</v>
      </c>
      <c r="Q332" s="15" t="n">
        <f aca="false">IFERROR(INDEX(Rates!$D$5:$D$84,MATCH(M332,Rates!$A$5:$A$84,0)),0)</f>
        <v>0.08</v>
      </c>
      <c r="R332" s="12" t="n">
        <f aca="false">O332*(1+Q332)</f>
        <v>4.037148</v>
      </c>
      <c r="S332" s="16" t="n">
        <f aca="false">IFERROR(INDEX(Rates!$E$5:$E$84,MATCH(M332,Rates!$A$5:$A$84,0)),0)</f>
        <v>65</v>
      </c>
      <c r="T332" s="7" t="n">
        <f aca="false">R332*S332</f>
        <v>262.41462</v>
      </c>
      <c r="U332" s="17" t="n">
        <f aca="false">IF(M332="BRK",R332/2000,IF(OR(M332="SNDC",M332="SNDM",M332="CRS",M332="KHG",M332="EARTH"),R332/100,""))</f>
        <v>0.04037148</v>
      </c>
    </row>
    <row r="333" customFormat="false" ht="15" hidden="false" customHeight="false" outlineLevel="0" collapsed="false">
      <c r="A333" s="6" t="s">
        <v>810</v>
      </c>
      <c r="B333" s="6" t="s">
        <v>811</v>
      </c>
      <c r="C333" s="6" t="s">
        <v>847</v>
      </c>
      <c r="D333" s="9"/>
      <c r="E333" s="9"/>
      <c r="F333" s="9"/>
      <c r="G333" s="9"/>
      <c r="H333" s="12"/>
      <c r="I333" s="6"/>
      <c r="J333" s="6" t="s">
        <v>851</v>
      </c>
      <c r="K333" s="6" t="s">
        <v>852</v>
      </c>
      <c r="L333" s="6"/>
      <c r="M333" s="6" t="s">
        <v>79</v>
      </c>
      <c r="N333" s="13" t="str">
        <f aca="false">IFERROR(INDEX(Rates!$B$5:$B$84,MATCH(M333,Rates!$A$5:$A$84,0)),"")</f>
        <v>Crush ¾" down, Sargodha (bajri)</v>
      </c>
      <c r="O333" s="12" t="n">
        <v>7.4762</v>
      </c>
      <c r="P333" s="14" t="str">
        <f aca="false">IFERROR(INDEX(Rates!$C$5:$C$84,MATCH(M333,Rates!$A$5:$A$84,0)),"")</f>
        <v>cft</v>
      </c>
      <c r="Q333" s="15" t="n">
        <f aca="false">IFERROR(INDEX(Rates!$D$5:$D$84,MATCH(M333,Rates!$A$5:$A$84,0)),0)</f>
        <v>0.05</v>
      </c>
      <c r="R333" s="12" t="n">
        <f aca="false">O333*(1+Q333)</f>
        <v>7.85001</v>
      </c>
      <c r="S333" s="16" t="n">
        <f aca="false">IFERROR(INDEX(Rates!$E$5:$E$84,MATCH(M333,Rates!$A$5:$A$84,0)),0)</f>
        <v>110</v>
      </c>
      <c r="T333" s="7" t="n">
        <f aca="false">R333*S333</f>
        <v>863.5011</v>
      </c>
      <c r="U333" s="17" t="n">
        <f aca="false">IF(M333="BRK",R333/2000,IF(OR(M333="SNDC",M333="SNDM",M333="CRS",M333="KHG",M333="EARTH"),R333/100,""))</f>
        <v>0.0785001</v>
      </c>
    </row>
    <row r="334" customFormat="false" ht="22.35" hidden="false" customHeight="false" outlineLevel="0" collapsed="false">
      <c r="A334" s="6" t="s">
        <v>810</v>
      </c>
      <c r="B334" s="6" t="s">
        <v>811</v>
      </c>
      <c r="C334" s="6" t="s">
        <v>847</v>
      </c>
      <c r="D334" s="9"/>
      <c r="E334" s="9"/>
      <c r="F334" s="9"/>
      <c r="G334" s="9"/>
      <c r="H334" s="12"/>
      <c r="I334" s="6"/>
      <c r="J334" s="6" t="s">
        <v>851</v>
      </c>
      <c r="K334" s="6" t="s">
        <v>852</v>
      </c>
      <c r="L334" s="6"/>
      <c r="M334" s="6" t="s">
        <v>56</v>
      </c>
      <c r="N334" s="13" t="str">
        <f aca="false">IFERROR(INDEX(Rates!$B$5:$B$84,MATCH(M334,Rates!$A$5:$A$84,0)),"")</f>
        <v>Steel Grade 60 deformed, #3 (10 mm) (Amreli / Mughal / FF Steel)</v>
      </c>
      <c r="O334" s="12" t="n">
        <v>20.4661</v>
      </c>
      <c r="P334" s="14" t="str">
        <f aca="false">IFERROR(INDEX(Rates!$C$5:$C$84,MATCH(M334,Rates!$A$5:$A$84,0)),"")</f>
        <v>kg</v>
      </c>
      <c r="Q334" s="15" t="n">
        <f aca="false">IFERROR(INDEX(Rates!$D$5:$D$84,MATCH(M334,Rates!$A$5:$A$84,0)),0)</f>
        <v>0.04</v>
      </c>
      <c r="R334" s="12" t="n">
        <f aca="false">O334*(1+Q334)</f>
        <v>21.284744</v>
      </c>
      <c r="S334" s="16" t="n">
        <f aca="false">IFERROR(INDEX(Rates!$E$5:$E$84,MATCH(M334,Rates!$A$5:$A$84,0)),0)</f>
        <v>262</v>
      </c>
      <c r="T334" s="7" t="n">
        <f aca="false">R334*S334</f>
        <v>5576.602928</v>
      </c>
      <c r="U334" s="17" t="str">
        <f aca="false">IF(M334="BRK",R334/2000,IF(OR(M334="SNDC",M334="SNDM",M334="CRS",M334="KHG",M334="EARTH"),R334/100,""))</f>
        <v/>
      </c>
    </row>
    <row r="335" customFormat="false" ht="22.35" hidden="false" customHeight="false" outlineLevel="0" collapsed="false">
      <c r="A335" s="6" t="s">
        <v>810</v>
      </c>
      <c r="B335" s="6" t="s">
        <v>811</v>
      </c>
      <c r="C335" s="6" t="s">
        <v>853</v>
      </c>
      <c r="D335" s="9" t="s">
        <v>481</v>
      </c>
      <c r="E335" s="9" t="s">
        <v>854</v>
      </c>
      <c r="F335" s="9" t="s">
        <v>855</v>
      </c>
      <c r="G335" s="9"/>
      <c r="H335" s="12" t="n">
        <v>11.25</v>
      </c>
      <c r="I335" s="6" t="s">
        <v>71</v>
      </c>
      <c r="J335" s="6" t="s">
        <v>851</v>
      </c>
      <c r="K335" s="6"/>
      <c r="L335" s="6"/>
      <c r="M335" s="6" t="s">
        <v>37</v>
      </c>
      <c r="N335" s="13" t="str">
        <f aca="false">IFERROR(INDEX(Rates!$B$5:$B$84,MATCH(M335,Rates!$A$5:$A$84,0)),"")</f>
        <v>Cement OPC, 50 kg bag (Lucky / Bestway / Maple Leaf)</v>
      </c>
      <c r="O335" s="12" t="n">
        <v>0.7182</v>
      </c>
      <c r="P335" s="14" t="str">
        <f aca="false">IFERROR(INDEX(Rates!$C$5:$C$84,MATCH(M335,Rates!$A$5:$A$84,0)),"")</f>
        <v>bag</v>
      </c>
      <c r="Q335" s="15" t="n">
        <f aca="false">IFERROR(INDEX(Rates!$D$5:$D$84,MATCH(M335,Rates!$A$5:$A$84,0)),0)</f>
        <v>0.03</v>
      </c>
      <c r="R335" s="12" t="n">
        <f aca="false">O335*(1+Q335)</f>
        <v>0.739746</v>
      </c>
      <c r="S335" s="16" t="n">
        <f aca="false">IFERROR(INDEX(Rates!$E$5:$E$84,MATCH(M335,Rates!$A$5:$A$84,0)),0)</f>
        <v>1560</v>
      </c>
      <c r="T335" s="7" t="n">
        <f aca="false">R335*S335</f>
        <v>1154.00376</v>
      </c>
      <c r="U335" s="17" t="str">
        <f aca="false">IF(M335="BRK",R335/2000,IF(OR(M335="SNDC",M335="SNDM",M335="CRS",M335="KHG",M335="EARTH"),R335/100,""))</f>
        <v/>
      </c>
    </row>
    <row r="336" customFormat="false" ht="15" hidden="false" customHeight="false" outlineLevel="0" collapsed="false">
      <c r="A336" s="6" t="s">
        <v>810</v>
      </c>
      <c r="B336" s="6" t="s">
        <v>811</v>
      </c>
      <c r="C336" s="6" t="s">
        <v>853</v>
      </c>
      <c r="D336" s="9"/>
      <c r="E336" s="9"/>
      <c r="F336" s="9"/>
      <c r="G336" s="9"/>
      <c r="H336" s="12"/>
      <c r="I336" s="6"/>
      <c r="J336" s="6" t="s">
        <v>851</v>
      </c>
      <c r="K336" s="6"/>
      <c r="L336" s="6"/>
      <c r="M336" s="6" t="s">
        <v>76</v>
      </c>
      <c r="N336" s="13" t="str">
        <f aca="false">IFERROR(INDEX(Rates!$B$5:$B$84,MATCH(M336,Rates!$A$5:$A$84,0)),"")</f>
        <v>Ravi sand (mortar, plaster, blinding, fill)</v>
      </c>
      <c r="O336" s="12" t="n">
        <v>3.591</v>
      </c>
      <c r="P336" s="14" t="str">
        <f aca="false">IFERROR(INDEX(Rates!$C$5:$C$84,MATCH(M336,Rates!$A$5:$A$84,0)),"")</f>
        <v>cft</v>
      </c>
      <c r="Q336" s="15" t="n">
        <f aca="false">IFERROR(INDEX(Rates!$D$5:$D$84,MATCH(M336,Rates!$A$5:$A$84,0)),0)</f>
        <v>0.08</v>
      </c>
      <c r="R336" s="12" t="n">
        <f aca="false">O336*(1+Q336)</f>
        <v>3.87828</v>
      </c>
      <c r="S336" s="16" t="n">
        <f aca="false">IFERROR(INDEX(Rates!$E$5:$E$84,MATCH(M336,Rates!$A$5:$A$84,0)),0)</f>
        <v>40</v>
      </c>
      <c r="T336" s="7" t="n">
        <f aca="false">R336*S336</f>
        <v>155.1312</v>
      </c>
      <c r="U336" s="17" t="n">
        <f aca="false">IF(M336="BRK",R336/2000,IF(OR(M336="SNDC",M336="SNDM",M336="CRS",M336="KHG",M336="EARTH"),R336/100,""))</f>
        <v>0.0387828</v>
      </c>
    </row>
    <row r="337" customFormat="false" ht="15" hidden="false" customHeight="false" outlineLevel="0" collapsed="false">
      <c r="A337" s="6" t="s">
        <v>810</v>
      </c>
      <c r="B337" s="6" t="s">
        <v>811</v>
      </c>
      <c r="C337" s="6" t="s">
        <v>853</v>
      </c>
      <c r="D337" s="9"/>
      <c r="E337" s="9"/>
      <c r="F337" s="9"/>
      <c r="G337" s="9"/>
      <c r="H337" s="12"/>
      <c r="I337" s="6"/>
      <c r="J337" s="6" t="s">
        <v>851</v>
      </c>
      <c r="K337" s="6"/>
      <c r="L337" s="6"/>
      <c r="M337" s="6" t="s">
        <v>43</v>
      </c>
      <c r="N337" s="13" t="str">
        <f aca="false">IFERROR(INDEX(Rates!$B$5:$B$84,MATCH(M337,Rates!$A$5:$A$84,0)),"")</f>
        <v>Bricks, first class (awwal), 9" x 4½" x 3"</v>
      </c>
      <c r="O337" s="12" t="n">
        <v>151.875</v>
      </c>
      <c r="P337" s="14" t="str">
        <f aca="false">IFERROR(INDEX(Rates!$C$5:$C$84,MATCH(M337,Rates!$A$5:$A$84,0)),"")</f>
        <v>nos</v>
      </c>
      <c r="Q337" s="15" t="n">
        <f aca="false">IFERROR(INDEX(Rates!$D$5:$D$84,MATCH(M337,Rates!$A$5:$A$84,0)),0)</f>
        <v>0.05</v>
      </c>
      <c r="R337" s="12" t="n">
        <f aca="false">O337*(1+Q337)</f>
        <v>159.46875</v>
      </c>
      <c r="S337" s="16" t="n">
        <f aca="false">IFERROR(INDEX(Rates!$E$5:$E$84,MATCH(M337,Rates!$A$5:$A$84,0)),0)</f>
        <v>16</v>
      </c>
      <c r="T337" s="7" t="n">
        <f aca="false">R337*S337</f>
        <v>2551.5</v>
      </c>
      <c r="U337" s="17" t="n">
        <f aca="false">IF(M337="BRK",R337/2000,IF(OR(M337="SNDC",M337="SNDM",M337="CRS",M337="KHG",M337="EARTH"),R337/100,""))</f>
        <v>0.079734375</v>
      </c>
    </row>
    <row r="338" customFormat="false" ht="22.35" hidden="false" customHeight="false" outlineLevel="0" collapsed="false">
      <c r="A338" s="6" t="s">
        <v>810</v>
      </c>
      <c r="B338" s="6" t="s">
        <v>811</v>
      </c>
      <c r="C338" s="6" t="s">
        <v>856</v>
      </c>
      <c r="D338" s="9" t="s">
        <v>481</v>
      </c>
      <c r="E338" s="9" t="s">
        <v>857</v>
      </c>
      <c r="F338" s="9" t="s">
        <v>858</v>
      </c>
      <c r="G338" s="9" t="s">
        <v>859</v>
      </c>
      <c r="H338" s="12" t="n">
        <v>33.3</v>
      </c>
      <c r="I338" s="6" t="s">
        <v>394</v>
      </c>
      <c r="J338" s="6" t="s">
        <v>851</v>
      </c>
      <c r="K338" s="6"/>
      <c r="L338" s="6"/>
      <c r="M338" s="6" t="s">
        <v>37</v>
      </c>
      <c r="N338" s="13" t="str">
        <f aca="false">IFERROR(INDEX(Rates!$B$5:$B$84,MATCH(M338,Rates!$A$5:$A$84,0)),"")</f>
        <v>Cement OPC, 50 kg bag (Lucky / Bestway / Maple Leaf)</v>
      </c>
      <c r="O338" s="12" t="n">
        <v>0.5536</v>
      </c>
      <c r="P338" s="14" t="str">
        <f aca="false">IFERROR(INDEX(Rates!$C$5:$C$84,MATCH(M338,Rates!$A$5:$A$84,0)),"")</f>
        <v>bag</v>
      </c>
      <c r="Q338" s="15" t="n">
        <f aca="false">IFERROR(INDEX(Rates!$D$5:$D$84,MATCH(M338,Rates!$A$5:$A$84,0)),0)</f>
        <v>0.03</v>
      </c>
      <c r="R338" s="12" t="n">
        <f aca="false">O338*(1+Q338)</f>
        <v>0.570208</v>
      </c>
      <c r="S338" s="16" t="n">
        <f aca="false">IFERROR(INDEX(Rates!$E$5:$E$84,MATCH(M338,Rates!$A$5:$A$84,0)),0)</f>
        <v>1560</v>
      </c>
      <c r="T338" s="7" t="n">
        <f aca="false">R338*S338</f>
        <v>889.52448</v>
      </c>
      <c r="U338" s="17" t="str">
        <f aca="false">IF(M338="BRK",R338/2000,IF(OR(M338="SNDC",M338="SNDM",M338="CRS",M338="KHG",M338="EARTH"),R338/100,""))</f>
        <v/>
      </c>
    </row>
    <row r="339" customFormat="false" ht="15" hidden="false" customHeight="false" outlineLevel="0" collapsed="false">
      <c r="A339" s="6" t="s">
        <v>810</v>
      </c>
      <c r="B339" s="6" t="s">
        <v>811</v>
      </c>
      <c r="C339" s="6" t="s">
        <v>856</v>
      </c>
      <c r="D339" s="9"/>
      <c r="E339" s="9"/>
      <c r="F339" s="9"/>
      <c r="G339" s="9"/>
      <c r="H339" s="12"/>
      <c r="I339" s="6"/>
      <c r="J339" s="6" t="s">
        <v>851</v>
      </c>
      <c r="K339" s="6"/>
      <c r="L339" s="6"/>
      <c r="M339" s="6" t="s">
        <v>76</v>
      </c>
      <c r="N339" s="13" t="str">
        <f aca="false">IFERROR(INDEX(Rates!$B$5:$B$84,MATCH(M339,Rates!$A$5:$A$84,0)),"")</f>
        <v>Ravi sand (mortar, plaster, blinding, fill)</v>
      </c>
      <c r="O339" s="12" t="n">
        <v>2.7681</v>
      </c>
      <c r="P339" s="14" t="str">
        <f aca="false">IFERROR(INDEX(Rates!$C$5:$C$84,MATCH(M339,Rates!$A$5:$A$84,0)),"")</f>
        <v>cft</v>
      </c>
      <c r="Q339" s="15" t="n">
        <f aca="false">IFERROR(INDEX(Rates!$D$5:$D$84,MATCH(M339,Rates!$A$5:$A$84,0)),0)</f>
        <v>0.08</v>
      </c>
      <c r="R339" s="12" t="n">
        <f aca="false">O339*(1+Q339)</f>
        <v>2.989548</v>
      </c>
      <c r="S339" s="16" t="n">
        <f aca="false">IFERROR(INDEX(Rates!$E$5:$E$84,MATCH(M339,Rates!$A$5:$A$84,0)),0)</f>
        <v>40</v>
      </c>
      <c r="T339" s="7" t="n">
        <f aca="false">R339*S339</f>
        <v>119.58192</v>
      </c>
      <c r="U339" s="17" t="n">
        <f aca="false">IF(M339="BRK",R339/2000,IF(OR(M339="SNDC",M339="SNDM",M339="CRS",M339="KHG",M339="EARTH"),R339/100,""))</f>
        <v>0.02989548</v>
      </c>
    </row>
    <row r="340" customFormat="false" ht="22.35" hidden="false" customHeight="false" outlineLevel="0" collapsed="false">
      <c r="A340" s="6" t="s">
        <v>810</v>
      </c>
      <c r="B340" s="6" t="s">
        <v>811</v>
      </c>
      <c r="C340" s="6" t="s">
        <v>860</v>
      </c>
      <c r="D340" s="9" t="s">
        <v>861</v>
      </c>
      <c r="E340" s="9" t="s">
        <v>862</v>
      </c>
      <c r="F340" s="9"/>
      <c r="G340" s="9" t="s">
        <v>863</v>
      </c>
      <c r="H340" s="12" t="n">
        <v>38</v>
      </c>
      <c r="I340" s="6" t="s">
        <v>118</v>
      </c>
      <c r="J340" s="6" t="s">
        <v>864</v>
      </c>
      <c r="K340" s="6"/>
      <c r="L340" s="6"/>
      <c r="M340" s="6" t="s">
        <v>160</v>
      </c>
      <c r="N340" s="13" t="str">
        <f aca="false">IFERROR(INDEX(Rates!$B$5:$B$84,MATCH(M340,Rates!$A$5:$A$84,0)),"")</f>
        <v>PPR pipe 1¼" (40 mm) PN-16 (Popular / Dadex / Master)</v>
      </c>
      <c r="O340" s="12" t="n">
        <v>38</v>
      </c>
      <c r="P340" s="14" t="str">
        <f aca="false">IFERROR(INDEX(Rates!$C$5:$C$84,MATCH(M340,Rates!$A$5:$A$84,0)),"")</f>
        <v>ft</v>
      </c>
      <c r="Q340" s="15" t="n">
        <f aca="false">IFERROR(INDEX(Rates!$D$5:$D$84,MATCH(M340,Rates!$A$5:$A$84,0)),0)</f>
        <v>0.07</v>
      </c>
      <c r="R340" s="12" t="n">
        <f aca="false">O340*(1+Q340)</f>
        <v>40.66</v>
      </c>
      <c r="S340" s="16" t="n">
        <f aca="false">IFERROR(INDEX(Rates!$E$5:$E$84,MATCH(M340,Rates!$A$5:$A$84,0)),0)</f>
        <v>270</v>
      </c>
      <c r="T340" s="7" t="n">
        <f aca="false">R340*S340</f>
        <v>10978.2</v>
      </c>
      <c r="U340" s="17" t="str">
        <f aca="false">IF(M340="BRK",R340/2000,IF(OR(M340="SNDC",M340="SNDM",M340="CRS",M340="KHG",M340="EARTH"),R340/100,""))</f>
        <v/>
      </c>
    </row>
    <row r="341" customFormat="false" ht="22.35" hidden="false" customHeight="false" outlineLevel="0" collapsed="false">
      <c r="A341" s="6" t="s">
        <v>810</v>
      </c>
      <c r="B341" s="6" t="s">
        <v>811</v>
      </c>
      <c r="C341" s="6" t="s">
        <v>865</v>
      </c>
      <c r="D341" s="9" t="s">
        <v>861</v>
      </c>
      <c r="E341" s="9" t="s">
        <v>866</v>
      </c>
      <c r="F341" s="9"/>
      <c r="G341" s="9" t="s">
        <v>863</v>
      </c>
      <c r="H341" s="12" t="n">
        <v>93</v>
      </c>
      <c r="I341" s="6" t="s">
        <v>118</v>
      </c>
      <c r="J341" s="6" t="s">
        <v>864</v>
      </c>
      <c r="K341" s="6"/>
      <c r="L341" s="6"/>
      <c r="M341" s="6" t="s">
        <v>166</v>
      </c>
      <c r="N341" s="13" t="str">
        <f aca="false">IFERROR(INDEX(Rates!$B$5:$B$84,MATCH(M341,Rates!$A$5:$A$84,0)),"")</f>
        <v>PPR pipe 1" (32 mm) PN-16</v>
      </c>
      <c r="O341" s="12" t="n">
        <v>93</v>
      </c>
      <c r="P341" s="14" t="str">
        <f aca="false">IFERROR(INDEX(Rates!$C$5:$C$84,MATCH(M341,Rates!$A$5:$A$84,0)),"")</f>
        <v>ft</v>
      </c>
      <c r="Q341" s="15" t="n">
        <f aca="false">IFERROR(INDEX(Rates!$D$5:$D$84,MATCH(M341,Rates!$A$5:$A$84,0)),0)</f>
        <v>0.07</v>
      </c>
      <c r="R341" s="12" t="n">
        <f aca="false">O341*(1+Q341)</f>
        <v>99.51</v>
      </c>
      <c r="S341" s="16" t="n">
        <f aca="false">IFERROR(INDEX(Rates!$E$5:$E$84,MATCH(M341,Rates!$A$5:$A$84,0)),0)</f>
        <v>175</v>
      </c>
      <c r="T341" s="7" t="n">
        <f aca="false">R341*S341</f>
        <v>17414.25</v>
      </c>
      <c r="U341" s="17" t="str">
        <f aca="false">IF(M341="BRK",R341/2000,IF(OR(M341="SNDC",M341="SNDM",M341="CRS",M341="KHG",M341="EARTH"),R341/100,""))</f>
        <v/>
      </c>
    </row>
    <row r="342" customFormat="false" ht="22.35" hidden="false" customHeight="false" outlineLevel="0" collapsed="false">
      <c r="A342" s="6" t="s">
        <v>810</v>
      </c>
      <c r="B342" s="6" t="s">
        <v>811</v>
      </c>
      <c r="C342" s="6" t="s">
        <v>867</v>
      </c>
      <c r="D342" s="9" t="s">
        <v>861</v>
      </c>
      <c r="E342" s="9" t="s">
        <v>868</v>
      </c>
      <c r="F342" s="9"/>
      <c r="G342" s="9" t="s">
        <v>863</v>
      </c>
      <c r="H342" s="12" t="n">
        <v>430</v>
      </c>
      <c r="I342" s="6" t="s">
        <v>118</v>
      </c>
      <c r="J342" s="6" t="s">
        <v>864</v>
      </c>
      <c r="K342" s="6"/>
      <c r="L342" s="6"/>
      <c r="M342" s="6" t="s">
        <v>169</v>
      </c>
      <c r="N342" s="13" t="str">
        <f aca="false">IFERROR(INDEX(Rates!$B$5:$B$84,MATCH(M342,Rates!$A$5:$A$84,0)),"")</f>
        <v>PPR pipe ¾" (25 mm) PN-16, cold</v>
      </c>
      <c r="O342" s="12" t="n">
        <v>430</v>
      </c>
      <c r="P342" s="14" t="str">
        <f aca="false">IFERROR(INDEX(Rates!$C$5:$C$84,MATCH(M342,Rates!$A$5:$A$84,0)),"")</f>
        <v>ft</v>
      </c>
      <c r="Q342" s="15" t="n">
        <f aca="false">IFERROR(INDEX(Rates!$D$5:$D$84,MATCH(M342,Rates!$A$5:$A$84,0)),0)</f>
        <v>0.07</v>
      </c>
      <c r="R342" s="12" t="n">
        <f aca="false">O342*(1+Q342)</f>
        <v>460.1</v>
      </c>
      <c r="S342" s="16" t="n">
        <f aca="false">IFERROR(INDEX(Rates!$E$5:$E$84,MATCH(M342,Rates!$A$5:$A$84,0)),0)</f>
        <v>110</v>
      </c>
      <c r="T342" s="7" t="n">
        <f aca="false">R342*S342</f>
        <v>50611</v>
      </c>
      <c r="U342" s="17" t="str">
        <f aca="false">IF(M342="BRK",R342/2000,IF(OR(M342="SNDC",M342="SNDM",M342="CRS",M342="KHG",M342="EARTH"),R342/100,""))</f>
        <v/>
      </c>
    </row>
    <row r="343" customFormat="false" ht="22.35" hidden="false" customHeight="false" outlineLevel="0" collapsed="false">
      <c r="A343" s="6" t="s">
        <v>810</v>
      </c>
      <c r="B343" s="6" t="s">
        <v>811</v>
      </c>
      <c r="C343" s="6" t="s">
        <v>869</v>
      </c>
      <c r="D343" s="9" t="s">
        <v>861</v>
      </c>
      <c r="E343" s="9" t="s">
        <v>870</v>
      </c>
      <c r="F343" s="9"/>
      <c r="G343" s="9" t="s">
        <v>863</v>
      </c>
      <c r="H343" s="12" t="n">
        <v>140</v>
      </c>
      <c r="I343" s="6" t="s">
        <v>118</v>
      </c>
      <c r="J343" s="6" t="s">
        <v>864</v>
      </c>
      <c r="K343" s="6"/>
      <c r="L343" s="6"/>
      <c r="M343" s="6" t="s">
        <v>172</v>
      </c>
      <c r="N343" s="13" t="str">
        <f aca="false">IFERROR(INDEX(Rates!$B$5:$B$84,MATCH(M343,Rates!$A$5:$A$84,0)),"")</f>
        <v>PPR pipe ½" (20 mm) PN-16, cold</v>
      </c>
      <c r="O343" s="12" t="n">
        <v>140</v>
      </c>
      <c r="P343" s="14" t="str">
        <f aca="false">IFERROR(INDEX(Rates!$C$5:$C$84,MATCH(M343,Rates!$A$5:$A$84,0)),"")</f>
        <v>ft</v>
      </c>
      <c r="Q343" s="15" t="n">
        <f aca="false">IFERROR(INDEX(Rates!$D$5:$D$84,MATCH(M343,Rates!$A$5:$A$84,0)),0)</f>
        <v>0.07</v>
      </c>
      <c r="R343" s="12" t="n">
        <f aca="false">O343*(1+Q343)</f>
        <v>149.8</v>
      </c>
      <c r="S343" s="16" t="n">
        <f aca="false">IFERROR(INDEX(Rates!$E$5:$E$84,MATCH(M343,Rates!$A$5:$A$84,0)),0)</f>
        <v>70</v>
      </c>
      <c r="T343" s="7" t="n">
        <f aca="false">R343*S343</f>
        <v>10486</v>
      </c>
      <c r="U343" s="17" t="str">
        <f aca="false">IF(M343="BRK",R343/2000,IF(OR(M343="SNDC",M343="SNDM",M343="CRS",M343="KHG",M343="EARTH"),R343/100,""))</f>
        <v/>
      </c>
    </row>
    <row r="344" customFormat="false" ht="22.35" hidden="false" customHeight="false" outlineLevel="0" collapsed="false">
      <c r="A344" s="6" t="s">
        <v>810</v>
      </c>
      <c r="B344" s="6" t="s">
        <v>811</v>
      </c>
      <c r="C344" s="6" t="s">
        <v>871</v>
      </c>
      <c r="D344" s="9" t="s">
        <v>861</v>
      </c>
      <c r="E344" s="9" t="s">
        <v>872</v>
      </c>
      <c r="F344" s="9"/>
      <c r="G344" s="9" t="s">
        <v>863</v>
      </c>
      <c r="H344" s="12" t="n">
        <v>360</v>
      </c>
      <c r="I344" s="6" t="s">
        <v>118</v>
      </c>
      <c r="J344" s="6" t="s">
        <v>864</v>
      </c>
      <c r="K344" s="6"/>
      <c r="L344" s="6"/>
      <c r="M344" s="6" t="s">
        <v>175</v>
      </c>
      <c r="N344" s="13" t="str">
        <f aca="false">IFERROR(INDEX(Rates!$B$5:$B$84,MATCH(M344,Rates!$A$5:$A$84,0)),"")</f>
        <v>PPR pipe ¾" (25 mm) PN-20, hot</v>
      </c>
      <c r="O344" s="12" t="n">
        <v>360</v>
      </c>
      <c r="P344" s="14" t="str">
        <f aca="false">IFERROR(INDEX(Rates!$C$5:$C$84,MATCH(M344,Rates!$A$5:$A$84,0)),"")</f>
        <v>ft</v>
      </c>
      <c r="Q344" s="15" t="n">
        <f aca="false">IFERROR(INDEX(Rates!$D$5:$D$84,MATCH(M344,Rates!$A$5:$A$84,0)),0)</f>
        <v>0.07</v>
      </c>
      <c r="R344" s="12" t="n">
        <f aca="false">O344*(1+Q344)</f>
        <v>385.2</v>
      </c>
      <c r="S344" s="16" t="n">
        <f aca="false">IFERROR(INDEX(Rates!$E$5:$E$84,MATCH(M344,Rates!$A$5:$A$84,0)),0)</f>
        <v>135</v>
      </c>
      <c r="T344" s="7" t="n">
        <f aca="false">R344*S344</f>
        <v>52002</v>
      </c>
      <c r="U344" s="17" t="str">
        <f aca="false">IF(M344="BRK",R344/2000,IF(OR(M344="SNDC",M344="SNDM",M344="CRS",M344="KHG",M344="EARTH"),R344/100,""))</f>
        <v/>
      </c>
    </row>
    <row r="345" customFormat="false" ht="22.35" hidden="false" customHeight="false" outlineLevel="0" collapsed="false">
      <c r="A345" s="6" t="s">
        <v>810</v>
      </c>
      <c r="B345" s="6" t="s">
        <v>811</v>
      </c>
      <c r="C345" s="6" t="s">
        <v>873</v>
      </c>
      <c r="D345" s="9" t="s">
        <v>861</v>
      </c>
      <c r="E345" s="9" t="s">
        <v>874</v>
      </c>
      <c r="F345" s="9"/>
      <c r="G345" s="9" t="s">
        <v>863</v>
      </c>
      <c r="H345" s="12" t="n">
        <v>80</v>
      </c>
      <c r="I345" s="6" t="s">
        <v>118</v>
      </c>
      <c r="J345" s="6" t="s">
        <v>864</v>
      </c>
      <c r="K345" s="6"/>
      <c r="L345" s="6"/>
      <c r="M345" s="6" t="s">
        <v>178</v>
      </c>
      <c r="N345" s="13" t="str">
        <f aca="false">IFERROR(INDEX(Rates!$B$5:$B$84,MATCH(M345,Rates!$A$5:$A$84,0)),"")</f>
        <v>PPR pipe ½" (20 mm) PN-20, hot</v>
      </c>
      <c r="O345" s="12" t="n">
        <v>80</v>
      </c>
      <c r="P345" s="14" t="str">
        <f aca="false">IFERROR(INDEX(Rates!$C$5:$C$84,MATCH(M345,Rates!$A$5:$A$84,0)),"")</f>
        <v>ft</v>
      </c>
      <c r="Q345" s="15" t="n">
        <f aca="false">IFERROR(INDEX(Rates!$D$5:$D$84,MATCH(M345,Rates!$A$5:$A$84,0)),0)</f>
        <v>0.07</v>
      </c>
      <c r="R345" s="12" t="n">
        <f aca="false">O345*(1+Q345)</f>
        <v>85.6</v>
      </c>
      <c r="S345" s="16" t="n">
        <f aca="false">IFERROR(INDEX(Rates!$E$5:$E$84,MATCH(M345,Rates!$A$5:$A$84,0)),0)</f>
        <v>85</v>
      </c>
      <c r="T345" s="7" t="n">
        <f aca="false">R345*S345</f>
        <v>7276</v>
      </c>
      <c r="U345" s="17" t="str">
        <f aca="false">IF(M345="BRK",R345/2000,IF(OR(M345="SNDC",M345="SNDM",M345="CRS",M345="KHG",M345="EARTH"),R345/100,""))</f>
        <v/>
      </c>
    </row>
    <row r="346" customFormat="false" ht="22.35" hidden="false" customHeight="false" outlineLevel="0" collapsed="false">
      <c r="A346" s="6" t="s">
        <v>810</v>
      </c>
      <c r="B346" s="6" t="s">
        <v>811</v>
      </c>
      <c r="C346" s="6" t="s">
        <v>875</v>
      </c>
      <c r="D346" s="9" t="s">
        <v>861</v>
      </c>
      <c r="E346" s="9" t="s">
        <v>876</v>
      </c>
      <c r="F346" s="9"/>
      <c r="G346" s="9" t="s">
        <v>863</v>
      </c>
      <c r="H346" s="12" t="n">
        <v>189.8</v>
      </c>
      <c r="I346" s="6" t="s">
        <v>118</v>
      </c>
      <c r="J346" s="6" t="s">
        <v>864</v>
      </c>
      <c r="K346" s="6"/>
      <c r="L346" s="6"/>
      <c r="M346" s="6" t="s">
        <v>180</v>
      </c>
      <c r="N346" s="13" t="str">
        <f aca="false">IFERROR(INDEX(Rates!$B$5:$B$84,MATCH(M346,Rates!$A$5:$A$84,0)),"")</f>
        <v>GI pipe medium class ½"-¾" for gas (SNGPL-approved)</v>
      </c>
      <c r="O346" s="12" t="n">
        <v>189.8</v>
      </c>
      <c r="P346" s="14" t="str">
        <f aca="false">IFERROR(INDEX(Rates!$C$5:$C$84,MATCH(M346,Rates!$A$5:$A$84,0)),"")</f>
        <v>ft</v>
      </c>
      <c r="Q346" s="15" t="n">
        <f aca="false">IFERROR(INDEX(Rates!$D$5:$D$84,MATCH(M346,Rates!$A$5:$A$84,0)),0)</f>
        <v>0.07</v>
      </c>
      <c r="R346" s="12" t="n">
        <f aca="false">O346*(1+Q346)</f>
        <v>203.086</v>
      </c>
      <c r="S346" s="16" t="n">
        <f aca="false">IFERROR(INDEX(Rates!$E$5:$E$84,MATCH(M346,Rates!$A$5:$A$84,0)),0)</f>
        <v>260</v>
      </c>
      <c r="T346" s="7" t="n">
        <f aca="false">R346*S346</f>
        <v>52802.36</v>
      </c>
      <c r="U346" s="17" t="str">
        <f aca="false">IF(M346="BRK",R346/2000,IF(OR(M346="SNDC",M346="SNDM",M346="CRS",M346="KHG",M346="EARTH"),R346/100,""))</f>
        <v/>
      </c>
    </row>
    <row r="347" customFormat="false" ht="32.8" hidden="false" customHeight="false" outlineLevel="0" collapsed="false">
      <c r="A347" s="6" t="s">
        <v>810</v>
      </c>
      <c r="B347" s="6" t="s">
        <v>811</v>
      </c>
      <c r="C347" s="6" t="s">
        <v>877</v>
      </c>
      <c r="D347" s="9" t="s">
        <v>861</v>
      </c>
      <c r="E347" s="9" t="s">
        <v>878</v>
      </c>
      <c r="F347" s="9"/>
      <c r="G347" s="9" t="s">
        <v>879</v>
      </c>
      <c r="H347" s="12" t="n">
        <v>1</v>
      </c>
      <c r="I347" s="6" t="s">
        <v>806</v>
      </c>
      <c r="J347" s="6" t="s">
        <v>864</v>
      </c>
      <c r="K347" s="6"/>
      <c r="L347" s="6"/>
      <c r="M347" s="6" t="s">
        <v>183</v>
      </c>
      <c r="N347" s="13" t="str">
        <f aca="false">IFERROR(INDEX(Rates!$B$5:$B$84,MATCH(M347,Rates!$A$5:$A$84,0)),"")</f>
        <v>PPR fittings (average)</v>
      </c>
      <c r="O347" s="12" t="n">
        <v>335</v>
      </c>
      <c r="P347" s="14" t="str">
        <f aca="false">IFERROR(INDEX(Rates!$C$5:$C$84,MATCH(M347,Rates!$A$5:$A$84,0)),"")</f>
        <v>nos</v>
      </c>
      <c r="Q347" s="15" t="n">
        <f aca="false">IFERROR(INDEX(Rates!$D$5:$D$84,MATCH(M347,Rates!$A$5:$A$84,0)),0)</f>
        <v>0</v>
      </c>
      <c r="R347" s="12" t="n">
        <f aca="false">O347*(1+Q347)</f>
        <v>335</v>
      </c>
      <c r="S347" s="16" t="n">
        <f aca="false">IFERROR(INDEX(Rates!$E$5:$E$84,MATCH(M347,Rates!$A$5:$A$84,0)),0)</f>
        <v>120</v>
      </c>
      <c r="T347" s="7" t="n">
        <f aca="false">R347*S347</f>
        <v>40200</v>
      </c>
      <c r="U347" s="17" t="str">
        <f aca="false">IF(M347="BRK",R347/2000,IF(OR(M347="SNDC",M347="SNDM",M347="CRS",M347="KHG",M347="EARTH"),R347/100,""))</f>
        <v/>
      </c>
    </row>
    <row r="348" customFormat="false" ht="15" hidden="false" customHeight="false" outlineLevel="0" collapsed="false">
      <c r="A348" s="6" t="s">
        <v>810</v>
      </c>
      <c r="B348" s="6" t="s">
        <v>811</v>
      </c>
      <c r="C348" s="6" t="s">
        <v>877</v>
      </c>
      <c r="D348" s="9"/>
      <c r="E348" s="9"/>
      <c r="F348" s="9"/>
      <c r="G348" s="9"/>
      <c r="H348" s="12"/>
      <c r="I348" s="6"/>
      <c r="J348" s="6" t="s">
        <v>864</v>
      </c>
      <c r="K348" s="6"/>
      <c r="L348" s="6"/>
      <c r="M348" s="6" t="s">
        <v>185</v>
      </c>
      <c r="N348" s="13" t="str">
        <f aca="false">IFERROR(INDEX(Rates!$B$5:$B$84,MATCH(M348,Rates!$A$5:$A$84,0)),"")</f>
        <v>Ball / gate valves (average)</v>
      </c>
      <c r="O348" s="12" t="n">
        <v>24</v>
      </c>
      <c r="P348" s="14" t="str">
        <f aca="false">IFERROR(INDEX(Rates!$C$5:$C$84,MATCH(M348,Rates!$A$5:$A$84,0)),"")</f>
        <v>nos</v>
      </c>
      <c r="Q348" s="15" t="n">
        <f aca="false">IFERROR(INDEX(Rates!$D$5:$D$84,MATCH(M348,Rates!$A$5:$A$84,0)),0)</f>
        <v>0</v>
      </c>
      <c r="R348" s="12" t="n">
        <f aca="false">O348*(1+Q348)</f>
        <v>24</v>
      </c>
      <c r="S348" s="16" t="n">
        <f aca="false">IFERROR(INDEX(Rates!$E$5:$E$84,MATCH(M348,Rates!$A$5:$A$84,0)),0)</f>
        <v>900</v>
      </c>
      <c r="T348" s="7" t="n">
        <f aca="false">R348*S348</f>
        <v>21600</v>
      </c>
      <c r="U348" s="17" t="str">
        <f aca="false">IF(M348="BRK",R348/2000,IF(OR(M348="SNDC",M348="SNDM",M348="CRS",M348="KHG",M348="EARTH"),R348/100,""))</f>
        <v/>
      </c>
    </row>
    <row r="349" customFormat="false" ht="15" hidden="false" customHeight="false" outlineLevel="0" collapsed="false">
      <c r="A349" s="6" t="s">
        <v>810</v>
      </c>
      <c r="B349" s="6" t="s">
        <v>811</v>
      </c>
      <c r="C349" s="6" t="s">
        <v>877</v>
      </c>
      <c r="D349" s="9"/>
      <c r="E349" s="9"/>
      <c r="F349" s="9"/>
      <c r="G349" s="9"/>
      <c r="H349" s="12"/>
      <c r="I349" s="6"/>
      <c r="J349" s="6" t="s">
        <v>864</v>
      </c>
      <c r="K349" s="6"/>
      <c r="L349" s="6"/>
      <c r="M349" s="6" t="s">
        <v>187</v>
      </c>
      <c r="N349" s="13" t="str">
        <f aca="false">IFERROR(INDEX(Rates!$B$5:$B$84,MATCH(M349,Rates!$A$5:$A$84,0)),"")</f>
        <v>Float valve ¾" for underground tank</v>
      </c>
      <c r="O349" s="12" t="n">
        <v>1</v>
      </c>
      <c r="P349" s="14" t="str">
        <f aca="false">IFERROR(INDEX(Rates!$C$5:$C$84,MATCH(M349,Rates!$A$5:$A$84,0)),"")</f>
        <v>nos</v>
      </c>
      <c r="Q349" s="15" t="n">
        <f aca="false">IFERROR(INDEX(Rates!$D$5:$D$84,MATCH(M349,Rates!$A$5:$A$84,0)),0)</f>
        <v>0</v>
      </c>
      <c r="R349" s="12" t="n">
        <f aca="false">O349*(1+Q349)</f>
        <v>1</v>
      </c>
      <c r="S349" s="16" t="n">
        <f aca="false">IFERROR(INDEX(Rates!$E$5:$E$84,MATCH(M349,Rates!$A$5:$A$84,0)),0)</f>
        <v>2500</v>
      </c>
      <c r="T349" s="7" t="n">
        <f aca="false">R349*S349</f>
        <v>2500</v>
      </c>
      <c r="U349" s="17" t="str">
        <f aca="false">IF(M349="BRK",R349/2000,IF(OR(M349="SNDC",M349="SNDM",M349="CRS",M349="KHG",M349="EARTH"),R349/100,""))</f>
        <v/>
      </c>
    </row>
    <row r="350" customFormat="false" ht="15" hidden="false" customHeight="false" outlineLevel="0" collapsed="false">
      <c r="A350" s="6" t="s">
        <v>810</v>
      </c>
      <c r="B350" s="6" t="s">
        <v>811</v>
      </c>
      <c r="C350" s="6" t="s">
        <v>877</v>
      </c>
      <c r="D350" s="9"/>
      <c r="E350" s="9"/>
      <c r="F350" s="9"/>
      <c r="G350" s="9"/>
      <c r="H350" s="12"/>
      <c r="I350" s="6"/>
      <c r="J350" s="6" t="s">
        <v>864</v>
      </c>
      <c r="K350" s="6"/>
      <c r="L350" s="6"/>
      <c r="M350" s="6" t="s">
        <v>189</v>
      </c>
      <c r="N350" s="13" t="str">
        <f aca="false">IFERROR(INDEX(Rates!$B$5:$B$84,MATCH(M350,Rates!$A$5:$A$84,0)),"")</f>
        <v>GI fittings ½"-¾"</v>
      </c>
      <c r="O350" s="12" t="n">
        <v>36</v>
      </c>
      <c r="P350" s="14" t="str">
        <f aca="false">IFERROR(INDEX(Rates!$C$5:$C$84,MATCH(M350,Rates!$A$5:$A$84,0)),"")</f>
        <v>nos</v>
      </c>
      <c r="Q350" s="15" t="n">
        <f aca="false">IFERROR(INDEX(Rates!$D$5:$D$84,MATCH(M350,Rates!$A$5:$A$84,0)),0)</f>
        <v>0</v>
      </c>
      <c r="R350" s="12" t="n">
        <f aca="false">O350*(1+Q350)</f>
        <v>36</v>
      </c>
      <c r="S350" s="16" t="n">
        <f aca="false">IFERROR(INDEX(Rates!$E$5:$E$84,MATCH(M350,Rates!$A$5:$A$84,0)),0)</f>
        <v>250</v>
      </c>
      <c r="T350" s="7" t="n">
        <f aca="false">R350*S350</f>
        <v>9000</v>
      </c>
      <c r="U350" s="17" t="str">
        <f aca="false">IF(M350="BRK",R350/2000,IF(OR(M350="SNDC",M350="SNDM",M350="CRS",M350="KHG",M350="EARTH"),R350/100,""))</f>
        <v/>
      </c>
    </row>
    <row r="351" customFormat="false" ht="15" hidden="false" customHeight="false" outlineLevel="0" collapsed="false">
      <c r="A351" s="6" t="s">
        <v>880</v>
      </c>
      <c r="B351" s="6" t="s">
        <v>881</v>
      </c>
      <c r="C351" s="6" t="s">
        <v>882</v>
      </c>
      <c r="D351" s="9" t="s">
        <v>861</v>
      </c>
      <c r="E351" s="9" t="s">
        <v>883</v>
      </c>
      <c r="F351" s="9"/>
      <c r="G351" s="9" t="s">
        <v>884</v>
      </c>
      <c r="H351" s="12" t="n">
        <v>1380</v>
      </c>
      <c r="I351" s="6" t="s">
        <v>118</v>
      </c>
      <c r="J351" s="6" t="s">
        <v>885</v>
      </c>
      <c r="K351" s="6"/>
      <c r="L351" s="6"/>
      <c r="M351" s="6" t="s">
        <v>191</v>
      </c>
      <c r="N351" s="13" t="str">
        <f aca="false">IFERROR(INDEX(Rates!$B$5:$B$84,MATCH(M351,Rates!$A$5:$A$84,0)),"")</f>
        <v>PVC conduit ¾" heavy gauge</v>
      </c>
      <c r="O351" s="12" t="n">
        <v>1380</v>
      </c>
      <c r="P351" s="14" t="str">
        <f aca="false">IFERROR(INDEX(Rates!$C$5:$C$84,MATCH(M351,Rates!$A$5:$A$84,0)),"")</f>
        <v>ft</v>
      </c>
      <c r="Q351" s="15" t="n">
        <f aca="false">IFERROR(INDEX(Rates!$D$5:$D$84,MATCH(M351,Rates!$A$5:$A$84,0)),0)</f>
        <v>0.07</v>
      </c>
      <c r="R351" s="12" t="n">
        <f aca="false">O351*(1+Q351)</f>
        <v>1476.6</v>
      </c>
      <c r="S351" s="16" t="n">
        <f aca="false">IFERROR(INDEX(Rates!$E$5:$E$84,MATCH(M351,Rates!$A$5:$A$84,0)),0)</f>
        <v>25</v>
      </c>
      <c r="T351" s="7" t="n">
        <f aca="false">R351*S351</f>
        <v>36915</v>
      </c>
      <c r="U351" s="17" t="str">
        <f aca="false">IF(M351="BRK",R351/2000,IF(OR(M351="SNDC",M351="SNDM",M351="CRS",M351="KHG",M351="EARTH"),R351/100,""))</f>
        <v/>
      </c>
    </row>
    <row r="352" customFormat="false" ht="15" hidden="false" customHeight="false" outlineLevel="0" collapsed="false">
      <c r="A352" s="6" t="s">
        <v>880</v>
      </c>
      <c r="B352" s="6" t="s">
        <v>881</v>
      </c>
      <c r="C352" s="6" t="s">
        <v>886</v>
      </c>
      <c r="D352" s="9" t="s">
        <v>861</v>
      </c>
      <c r="E352" s="9" t="s">
        <v>887</v>
      </c>
      <c r="F352" s="9"/>
      <c r="G352" s="9" t="s">
        <v>884</v>
      </c>
      <c r="H352" s="12" t="n">
        <v>632</v>
      </c>
      <c r="I352" s="6" t="s">
        <v>118</v>
      </c>
      <c r="J352" s="6" t="s">
        <v>885</v>
      </c>
      <c r="K352" s="6"/>
      <c r="L352" s="6"/>
      <c r="M352" s="6" t="s">
        <v>191</v>
      </c>
      <c r="N352" s="13" t="str">
        <f aca="false">IFERROR(INDEX(Rates!$B$5:$B$84,MATCH(M352,Rates!$A$5:$A$84,0)),"")</f>
        <v>PVC conduit ¾" heavy gauge</v>
      </c>
      <c r="O352" s="12" t="n">
        <v>632</v>
      </c>
      <c r="P352" s="14" t="str">
        <f aca="false">IFERROR(INDEX(Rates!$C$5:$C$84,MATCH(M352,Rates!$A$5:$A$84,0)),"")</f>
        <v>ft</v>
      </c>
      <c r="Q352" s="15" t="n">
        <f aca="false">IFERROR(INDEX(Rates!$D$5:$D$84,MATCH(M352,Rates!$A$5:$A$84,0)),0)</f>
        <v>0.07</v>
      </c>
      <c r="R352" s="12" t="n">
        <f aca="false">O352*(1+Q352)</f>
        <v>676.24</v>
      </c>
      <c r="S352" s="16" t="n">
        <f aca="false">IFERROR(INDEX(Rates!$E$5:$E$84,MATCH(M352,Rates!$A$5:$A$84,0)),0)</f>
        <v>25</v>
      </c>
      <c r="T352" s="7" t="n">
        <f aca="false">R352*S352</f>
        <v>16906</v>
      </c>
      <c r="U352" s="17" t="str">
        <f aca="false">IF(M352="BRK",R352/2000,IF(OR(M352="SNDC",M352="SNDM",M352="CRS",M352="KHG",M352="EARTH"),R352/100,""))</f>
        <v/>
      </c>
    </row>
    <row r="353" customFormat="false" ht="15" hidden="false" customHeight="false" outlineLevel="0" collapsed="false">
      <c r="A353" s="6" t="s">
        <v>880</v>
      </c>
      <c r="B353" s="6" t="s">
        <v>881</v>
      </c>
      <c r="C353" s="6" t="s">
        <v>888</v>
      </c>
      <c r="D353" s="9" t="s">
        <v>861</v>
      </c>
      <c r="E353" s="9" t="s">
        <v>889</v>
      </c>
      <c r="F353" s="9"/>
      <c r="G353" s="9" t="s">
        <v>884</v>
      </c>
      <c r="H353" s="12" t="n">
        <v>80</v>
      </c>
      <c r="I353" s="6" t="s">
        <v>118</v>
      </c>
      <c r="J353" s="6" t="s">
        <v>890</v>
      </c>
      <c r="K353" s="6"/>
      <c r="L353" s="6"/>
      <c r="M353" s="6" t="s">
        <v>191</v>
      </c>
      <c r="N353" s="13" t="str">
        <f aca="false">IFERROR(INDEX(Rates!$B$5:$B$84,MATCH(M353,Rates!$A$5:$A$84,0)),"")</f>
        <v>PVC conduit ¾" heavy gauge</v>
      </c>
      <c r="O353" s="12" t="n">
        <v>80</v>
      </c>
      <c r="P353" s="14" t="str">
        <f aca="false">IFERROR(INDEX(Rates!$C$5:$C$84,MATCH(M353,Rates!$A$5:$A$84,0)),"")</f>
        <v>ft</v>
      </c>
      <c r="Q353" s="15" t="n">
        <f aca="false">IFERROR(INDEX(Rates!$D$5:$D$84,MATCH(M353,Rates!$A$5:$A$84,0)),0)</f>
        <v>0.07</v>
      </c>
      <c r="R353" s="12" t="n">
        <f aca="false">O353*(1+Q353)</f>
        <v>85.6</v>
      </c>
      <c r="S353" s="16" t="n">
        <f aca="false">IFERROR(INDEX(Rates!$E$5:$E$84,MATCH(M353,Rates!$A$5:$A$84,0)),0)</f>
        <v>25</v>
      </c>
      <c r="T353" s="7" t="n">
        <f aca="false">R353*S353</f>
        <v>2140</v>
      </c>
      <c r="U353" s="17" t="str">
        <f aca="false">IF(M353="BRK",R353/2000,IF(OR(M353="SNDC",M353="SNDM",M353="CRS",M353="KHG",M353="EARTH"),R353/100,""))</f>
        <v/>
      </c>
    </row>
    <row r="354" customFormat="false" ht="22.35" hidden="false" customHeight="false" outlineLevel="0" collapsed="false">
      <c r="A354" s="6" t="s">
        <v>880</v>
      </c>
      <c r="B354" s="6" t="s">
        <v>881</v>
      </c>
      <c r="C354" s="6" t="s">
        <v>891</v>
      </c>
      <c r="D354" s="9" t="s">
        <v>861</v>
      </c>
      <c r="E354" s="9" t="s">
        <v>892</v>
      </c>
      <c r="F354" s="9"/>
      <c r="G354" s="9" t="s">
        <v>884</v>
      </c>
      <c r="H354" s="12" t="n">
        <v>220</v>
      </c>
      <c r="I354" s="6" t="s">
        <v>118</v>
      </c>
      <c r="J354" s="6" t="s">
        <v>890</v>
      </c>
      <c r="K354" s="6"/>
      <c r="L354" s="6"/>
      <c r="M354" s="6" t="s">
        <v>191</v>
      </c>
      <c r="N354" s="13" t="str">
        <f aca="false">IFERROR(INDEX(Rates!$B$5:$B$84,MATCH(M354,Rates!$A$5:$A$84,0)),"")</f>
        <v>PVC conduit ¾" heavy gauge</v>
      </c>
      <c r="O354" s="12" t="n">
        <v>220</v>
      </c>
      <c r="P354" s="14" t="str">
        <f aca="false">IFERROR(INDEX(Rates!$C$5:$C$84,MATCH(M354,Rates!$A$5:$A$84,0)),"")</f>
        <v>ft</v>
      </c>
      <c r="Q354" s="15" t="n">
        <f aca="false">IFERROR(INDEX(Rates!$D$5:$D$84,MATCH(M354,Rates!$A$5:$A$84,0)),0)</f>
        <v>0.07</v>
      </c>
      <c r="R354" s="12" t="n">
        <f aca="false">O354*(1+Q354)</f>
        <v>235.4</v>
      </c>
      <c r="S354" s="16" t="n">
        <f aca="false">IFERROR(INDEX(Rates!$E$5:$E$84,MATCH(M354,Rates!$A$5:$A$84,0)),0)</f>
        <v>25</v>
      </c>
      <c r="T354" s="7" t="n">
        <f aca="false">R354*S354</f>
        <v>5885</v>
      </c>
      <c r="U354" s="17" t="str">
        <f aca="false">IF(M354="BRK",R354/2000,IF(OR(M354="SNDC",M354="SNDM",M354="CRS",M354="KHG",M354="EARTH"),R354/100,""))</f>
        <v/>
      </c>
    </row>
    <row r="355" customFormat="false" ht="22.35" hidden="false" customHeight="false" outlineLevel="0" collapsed="false">
      <c r="A355" s="6" t="s">
        <v>880</v>
      </c>
      <c r="B355" s="6" t="s">
        <v>881</v>
      </c>
      <c r="C355" s="6" t="s">
        <v>893</v>
      </c>
      <c r="D355" s="9" t="s">
        <v>861</v>
      </c>
      <c r="E355" s="9" t="s">
        <v>894</v>
      </c>
      <c r="F355" s="9"/>
      <c r="G355" s="9" t="s">
        <v>884</v>
      </c>
      <c r="H355" s="12" t="n">
        <v>350</v>
      </c>
      <c r="I355" s="6" t="s">
        <v>118</v>
      </c>
      <c r="J355" s="6" t="s">
        <v>890</v>
      </c>
      <c r="K355" s="6"/>
      <c r="L355" s="6"/>
      <c r="M355" s="6" t="s">
        <v>191</v>
      </c>
      <c r="N355" s="13" t="str">
        <f aca="false">IFERROR(INDEX(Rates!$B$5:$B$84,MATCH(M355,Rates!$A$5:$A$84,0)),"")</f>
        <v>PVC conduit ¾" heavy gauge</v>
      </c>
      <c r="O355" s="12" t="n">
        <v>350</v>
      </c>
      <c r="P355" s="14" t="str">
        <f aca="false">IFERROR(INDEX(Rates!$C$5:$C$84,MATCH(M355,Rates!$A$5:$A$84,0)),"")</f>
        <v>ft</v>
      </c>
      <c r="Q355" s="15" t="n">
        <f aca="false">IFERROR(INDEX(Rates!$D$5:$D$84,MATCH(M355,Rates!$A$5:$A$84,0)),0)</f>
        <v>0.07</v>
      </c>
      <c r="R355" s="12" t="n">
        <f aca="false">O355*(1+Q355)</f>
        <v>374.5</v>
      </c>
      <c r="S355" s="16" t="n">
        <f aca="false">IFERROR(INDEX(Rates!$E$5:$E$84,MATCH(M355,Rates!$A$5:$A$84,0)),0)</f>
        <v>25</v>
      </c>
      <c r="T355" s="7" t="n">
        <f aca="false">R355*S355</f>
        <v>9362.5</v>
      </c>
      <c r="U355" s="17" t="str">
        <f aca="false">IF(M355="BRK",R355/2000,IF(OR(M355="SNDC",M355="SNDM",M355="CRS",M355="KHG",M355="EARTH"),R355/100,""))</f>
        <v/>
      </c>
    </row>
    <row r="356" customFormat="false" ht="15" hidden="false" customHeight="false" outlineLevel="0" collapsed="false">
      <c r="A356" s="6" t="s">
        <v>880</v>
      </c>
      <c r="B356" s="6" t="s">
        <v>881</v>
      </c>
      <c r="C356" s="6" t="s">
        <v>895</v>
      </c>
      <c r="D356" s="9" t="s">
        <v>861</v>
      </c>
      <c r="E356" s="9" t="s">
        <v>896</v>
      </c>
      <c r="F356" s="9"/>
      <c r="G356" s="9" t="s">
        <v>884</v>
      </c>
      <c r="H356" s="12" t="n">
        <v>975</v>
      </c>
      <c r="I356" s="6" t="s">
        <v>118</v>
      </c>
      <c r="J356" s="6" t="s">
        <v>885</v>
      </c>
      <c r="K356" s="6"/>
      <c r="L356" s="6"/>
      <c r="M356" s="6" t="s">
        <v>194</v>
      </c>
      <c r="N356" s="13" t="str">
        <f aca="false">IFERROR(INDEX(Rates!$B$5:$B$84,MATCH(M356,Rates!$A$5:$A$84,0)),"")</f>
        <v>PVC conduit 1" heavy gauge</v>
      </c>
      <c r="O356" s="12" t="n">
        <v>975</v>
      </c>
      <c r="P356" s="14" t="str">
        <f aca="false">IFERROR(INDEX(Rates!$C$5:$C$84,MATCH(M356,Rates!$A$5:$A$84,0)),"")</f>
        <v>ft</v>
      </c>
      <c r="Q356" s="15" t="n">
        <f aca="false">IFERROR(INDEX(Rates!$D$5:$D$84,MATCH(M356,Rates!$A$5:$A$84,0)),0)</f>
        <v>0.07</v>
      </c>
      <c r="R356" s="12" t="n">
        <f aca="false">O356*(1+Q356)</f>
        <v>1043.25</v>
      </c>
      <c r="S356" s="16" t="n">
        <f aca="false">IFERROR(INDEX(Rates!$E$5:$E$84,MATCH(M356,Rates!$A$5:$A$84,0)),0)</f>
        <v>38</v>
      </c>
      <c r="T356" s="7" t="n">
        <f aca="false">R356*S356</f>
        <v>39643.5</v>
      </c>
      <c r="U356" s="17" t="str">
        <f aca="false">IF(M356="BRK",R356/2000,IF(OR(M356="SNDC",M356="SNDM",M356="CRS",M356="KHG",M356="EARTH"),R356/100,""))</f>
        <v/>
      </c>
    </row>
    <row r="357" customFormat="false" ht="22.35" hidden="false" customHeight="false" outlineLevel="0" collapsed="false">
      <c r="A357" s="6" t="s">
        <v>880</v>
      </c>
      <c r="B357" s="6" t="s">
        <v>881</v>
      </c>
      <c r="C357" s="6" t="s">
        <v>897</v>
      </c>
      <c r="D357" s="9" t="s">
        <v>861</v>
      </c>
      <c r="E357" s="9" t="s">
        <v>898</v>
      </c>
      <c r="F357" s="9"/>
      <c r="G357" s="9" t="s">
        <v>884</v>
      </c>
      <c r="H357" s="12" t="n">
        <v>385</v>
      </c>
      <c r="I357" s="6" t="s">
        <v>118</v>
      </c>
      <c r="J357" s="6" t="s">
        <v>899</v>
      </c>
      <c r="K357" s="6"/>
      <c r="L357" s="6"/>
      <c r="M357" s="6" t="s">
        <v>194</v>
      </c>
      <c r="N357" s="13" t="str">
        <f aca="false">IFERROR(INDEX(Rates!$B$5:$B$84,MATCH(M357,Rates!$A$5:$A$84,0)),"")</f>
        <v>PVC conduit 1" heavy gauge</v>
      </c>
      <c r="O357" s="12" t="n">
        <v>385</v>
      </c>
      <c r="P357" s="14" t="str">
        <f aca="false">IFERROR(INDEX(Rates!$C$5:$C$84,MATCH(M357,Rates!$A$5:$A$84,0)),"")</f>
        <v>ft</v>
      </c>
      <c r="Q357" s="15" t="n">
        <f aca="false">IFERROR(INDEX(Rates!$D$5:$D$84,MATCH(M357,Rates!$A$5:$A$84,0)),0)</f>
        <v>0.07</v>
      </c>
      <c r="R357" s="12" t="n">
        <f aca="false">O357*(1+Q357)</f>
        <v>411.95</v>
      </c>
      <c r="S357" s="16" t="n">
        <f aca="false">IFERROR(INDEX(Rates!$E$5:$E$84,MATCH(M357,Rates!$A$5:$A$84,0)),0)</f>
        <v>38</v>
      </c>
      <c r="T357" s="7" t="n">
        <f aca="false">R357*S357</f>
        <v>15654.1</v>
      </c>
      <c r="U357" s="17" t="str">
        <f aca="false">IF(M357="BRK",R357/2000,IF(OR(M357="SNDC",M357="SNDM",M357="CRS",M357="KHG",M357="EARTH"),R357/100,""))</f>
        <v/>
      </c>
    </row>
    <row r="358" customFormat="false" ht="22.35" hidden="false" customHeight="false" outlineLevel="0" collapsed="false">
      <c r="A358" s="6" t="s">
        <v>880</v>
      </c>
      <c r="B358" s="6" t="s">
        <v>881</v>
      </c>
      <c r="C358" s="6" t="s">
        <v>900</v>
      </c>
      <c r="D358" s="9" t="s">
        <v>861</v>
      </c>
      <c r="E358" s="9" t="s">
        <v>901</v>
      </c>
      <c r="F358" s="9"/>
      <c r="G358" s="9" t="s">
        <v>884</v>
      </c>
      <c r="H358" s="12" t="n">
        <v>125</v>
      </c>
      <c r="I358" s="6" t="s">
        <v>118</v>
      </c>
      <c r="J358" s="6" t="s">
        <v>899</v>
      </c>
      <c r="K358" s="6"/>
      <c r="L358" s="6"/>
      <c r="M358" s="6" t="s">
        <v>194</v>
      </c>
      <c r="N358" s="13" t="str">
        <f aca="false">IFERROR(INDEX(Rates!$B$5:$B$84,MATCH(M358,Rates!$A$5:$A$84,0)),"")</f>
        <v>PVC conduit 1" heavy gauge</v>
      </c>
      <c r="O358" s="12" t="n">
        <v>125</v>
      </c>
      <c r="P358" s="14" t="str">
        <f aca="false">IFERROR(INDEX(Rates!$C$5:$C$84,MATCH(M358,Rates!$A$5:$A$84,0)),"")</f>
        <v>ft</v>
      </c>
      <c r="Q358" s="15" t="n">
        <f aca="false">IFERROR(INDEX(Rates!$D$5:$D$84,MATCH(M358,Rates!$A$5:$A$84,0)),0)</f>
        <v>0.07</v>
      </c>
      <c r="R358" s="12" t="n">
        <f aca="false">O358*(1+Q358)</f>
        <v>133.75</v>
      </c>
      <c r="S358" s="16" t="n">
        <f aca="false">IFERROR(INDEX(Rates!$E$5:$E$84,MATCH(M358,Rates!$A$5:$A$84,0)),0)</f>
        <v>38</v>
      </c>
      <c r="T358" s="7" t="n">
        <f aca="false">R358*S358</f>
        <v>5082.5</v>
      </c>
      <c r="U358" s="17" t="str">
        <f aca="false">IF(M358="BRK",R358/2000,IF(OR(M358="SNDC",M358="SNDM",M358="CRS",M358="KHG",M358="EARTH"),R358/100,""))</f>
        <v/>
      </c>
    </row>
    <row r="359" customFormat="false" ht="15" hidden="false" customHeight="false" outlineLevel="0" collapsed="false">
      <c r="A359" s="6" t="s">
        <v>880</v>
      </c>
      <c r="B359" s="6" t="s">
        <v>881</v>
      </c>
      <c r="C359" s="6" t="s">
        <v>902</v>
      </c>
      <c r="D359" s="9" t="s">
        <v>861</v>
      </c>
      <c r="E359" s="9" t="s">
        <v>903</v>
      </c>
      <c r="F359" s="9"/>
      <c r="G359" s="9" t="s">
        <v>884</v>
      </c>
      <c r="H359" s="12" t="n">
        <v>60</v>
      </c>
      <c r="I359" s="6" t="s">
        <v>118</v>
      </c>
      <c r="J359" s="6" t="s">
        <v>899</v>
      </c>
      <c r="K359" s="6"/>
      <c r="L359" s="6"/>
      <c r="M359" s="6" t="s">
        <v>194</v>
      </c>
      <c r="N359" s="13" t="str">
        <f aca="false">IFERROR(INDEX(Rates!$B$5:$B$84,MATCH(M359,Rates!$A$5:$A$84,0)),"")</f>
        <v>PVC conduit 1" heavy gauge</v>
      </c>
      <c r="O359" s="12" t="n">
        <v>60</v>
      </c>
      <c r="P359" s="14" t="str">
        <f aca="false">IFERROR(INDEX(Rates!$C$5:$C$84,MATCH(M359,Rates!$A$5:$A$84,0)),"")</f>
        <v>ft</v>
      </c>
      <c r="Q359" s="15" t="n">
        <f aca="false">IFERROR(INDEX(Rates!$D$5:$D$84,MATCH(M359,Rates!$A$5:$A$84,0)),0)</f>
        <v>0.07</v>
      </c>
      <c r="R359" s="12" t="n">
        <f aca="false">O359*(1+Q359)</f>
        <v>64.2</v>
      </c>
      <c r="S359" s="16" t="n">
        <f aca="false">IFERROR(INDEX(Rates!$E$5:$E$84,MATCH(M359,Rates!$A$5:$A$84,0)),0)</f>
        <v>38</v>
      </c>
      <c r="T359" s="7" t="n">
        <f aca="false">R359*S359</f>
        <v>2439.6</v>
      </c>
      <c r="U359" s="17" t="str">
        <f aca="false">IF(M359="BRK",R359/2000,IF(OR(M359="SNDC",M359="SNDM",M359="CRS",M359="KHG",M359="EARTH"),R359/100,""))</f>
        <v/>
      </c>
    </row>
    <row r="360" customFormat="false" ht="15" hidden="false" customHeight="false" outlineLevel="0" collapsed="false">
      <c r="A360" s="6" t="s">
        <v>880</v>
      </c>
      <c r="B360" s="6" t="s">
        <v>881</v>
      </c>
      <c r="C360" s="6" t="s">
        <v>904</v>
      </c>
      <c r="D360" s="9" t="s">
        <v>861</v>
      </c>
      <c r="E360" s="9" t="s">
        <v>905</v>
      </c>
      <c r="F360" s="9"/>
      <c r="G360" s="9" t="s">
        <v>884</v>
      </c>
      <c r="H360" s="12" t="n">
        <v>30</v>
      </c>
      <c r="I360" s="6" t="s">
        <v>118</v>
      </c>
      <c r="J360" s="6" t="s">
        <v>899</v>
      </c>
      <c r="K360" s="6"/>
      <c r="L360" s="6"/>
      <c r="M360" s="6" t="s">
        <v>194</v>
      </c>
      <c r="N360" s="13" t="str">
        <f aca="false">IFERROR(INDEX(Rates!$B$5:$B$84,MATCH(M360,Rates!$A$5:$A$84,0)),"")</f>
        <v>PVC conduit 1" heavy gauge</v>
      </c>
      <c r="O360" s="12" t="n">
        <v>30</v>
      </c>
      <c r="P360" s="14" t="str">
        <f aca="false">IFERROR(INDEX(Rates!$C$5:$C$84,MATCH(M360,Rates!$A$5:$A$84,0)),"")</f>
        <v>ft</v>
      </c>
      <c r="Q360" s="15" t="n">
        <f aca="false">IFERROR(INDEX(Rates!$D$5:$D$84,MATCH(M360,Rates!$A$5:$A$84,0)),0)</f>
        <v>0.07</v>
      </c>
      <c r="R360" s="12" t="n">
        <f aca="false">O360*(1+Q360)</f>
        <v>32.1</v>
      </c>
      <c r="S360" s="16" t="n">
        <f aca="false">IFERROR(INDEX(Rates!$E$5:$E$84,MATCH(M360,Rates!$A$5:$A$84,0)),0)</f>
        <v>38</v>
      </c>
      <c r="T360" s="7" t="n">
        <f aca="false">R360*S360</f>
        <v>1219.8</v>
      </c>
      <c r="U360" s="17" t="str">
        <f aca="false">IF(M360="BRK",R360/2000,IF(OR(M360="SNDC",M360="SNDM",M360="CRS",M360="KHG",M360="EARTH"),R360/100,""))</f>
        <v/>
      </c>
    </row>
    <row r="361" customFormat="false" ht="15" hidden="false" customHeight="false" outlineLevel="0" collapsed="false">
      <c r="A361" s="6" t="s">
        <v>880</v>
      </c>
      <c r="B361" s="6" t="s">
        <v>881</v>
      </c>
      <c r="C361" s="6" t="s">
        <v>906</v>
      </c>
      <c r="D361" s="9" t="s">
        <v>861</v>
      </c>
      <c r="E361" s="9" t="s">
        <v>907</v>
      </c>
      <c r="F361" s="9"/>
      <c r="G361" s="9" t="s">
        <v>884</v>
      </c>
      <c r="H361" s="12" t="n">
        <v>30</v>
      </c>
      <c r="I361" s="6" t="s">
        <v>118</v>
      </c>
      <c r="J361" s="6" t="s">
        <v>908</v>
      </c>
      <c r="K361" s="6"/>
      <c r="L361" s="6"/>
      <c r="M361" s="6" t="s">
        <v>196</v>
      </c>
      <c r="N361" s="13" t="str">
        <f aca="false">IFERROR(INDEX(Rates!$B$5:$B$84,MATCH(M361,Rates!$A$5:$A$84,0)),"")</f>
        <v>PVC conduit 1¼" heavy gauge</v>
      </c>
      <c r="O361" s="12" t="n">
        <v>30</v>
      </c>
      <c r="P361" s="14" t="str">
        <f aca="false">IFERROR(INDEX(Rates!$C$5:$C$84,MATCH(M361,Rates!$A$5:$A$84,0)),"")</f>
        <v>ft</v>
      </c>
      <c r="Q361" s="15" t="n">
        <f aca="false">IFERROR(INDEX(Rates!$D$5:$D$84,MATCH(M361,Rates!$A$5:$A$84,0)),0)</f>
        <v>0.07</v>
      </c>
      <c r="R361" s="12" t="n">
        <f aca="false">O361*(1+Q361)</f>
        <v>32.1</v>
      </c>
      <c r="S361" s="16" t="n">
        <f aca="false">IFERROR(INDEX(Rates!$E$5:$E$84,MATCH(M361,Rates!$A$5:$A$84,0)),0)</f>
        <v>56</v>
      </c>
      <c r="T361" s="7" t="n">
        <f aca="false">R361*S361</f>
        <v>1797.6</v>
      </c>
      <c r="U361" s="17" t="str">
        <f aca="false">IF(M361="BRK",R361/2000,IF(OR(M361="SNDC",M361="SNDM",M361="CRS",M361="KHG",M361="EARTH"),R361/100,""))</f>
        <v/>
      </c>
    </row>
    <row r="362" customFormat="false" ht="22.35" hidden="false" customHeight="false" outlineLevel="0" collapsed="false">
      <c r="A362" s="6" t="s">
        <v>880</v>
      </c>
      <c r="B362" s="6" t="s">
        <v>881</v>
      </c>
      <c r="C362" s="6" t="s">
        <v>909</v>
      </c>
      <c r="D362" s="9" t="s">
        <v>861</v>
      </c>
      <c r="E362" s="9" t="s">
        <v>910</v>
      </c>
      <c r="F362" s="9"/>
      <c r="G362" s="9" t="s">
        <v>884</v>
      </c>
      <c r="H362" s="12" t="n">
        <v>90</v>
      </c>
      <c r="I362" s="6" t="s">
        <v>118</v>
      </c>
      <c r="J362" s="6" t="s">
        <v>908</v>
      </c>
      <c r="K362" s="6"/>
      <c r="L362" s="6"/>
      <c r="M362" s="6" t="s">
        <v>196</v>
      </c>
      <c r="N362" s="13" t="str">
        <f aca="false">IFERROR(INDEX(Rates!$B$5:$B$84,MATCH(M362,Rates!$A$5:$A$84,0)),"")</f>
        <v>PVC conduit 1¼" heavy gauge</v>
      </c>
      <c r="O362" s="12" t="n">
        <v>90</v>
      </c>
      <c r="P362" s="14" t="str">
        <f aca="false">IFERROR(INDEX(Rates!$C$5:$C$84,MATCH(M362,Rates!$A$5:$A$84,0)),"")</f>
        <v>ft</v>
      </c>
      <c r="Q362" s="15" t="n">
        <f aca="false">IFERROR(INDEX(Rates!$D$5:$D$84,MATCH(M362,Rates!$A$5:$A$84,0)),0)</f>
        <v>0.07</v>
      </c>
      <c r="R362" s="12" t="n">
        <f aca="false">O362*(1+Q362)</f>
        <v>96.3</v>
      </c>
      <c r="S362" s="16" t="n">
        <f aca="false">IFERROR(INDEX(Rates!$E$5:$E$84,MATCH(M362,Rates!$A$5:$A$84,0)),0)</f>
        <v>56</v>
      </c>
      <c r="T362" s="7" t="n">
        <f aca="false">R362*S362</f>
        <v>5392.8</v>
      </c>
      <c r="U362" s="17" t="str">
        <f aca="false">IF(M362="BRK",R362/2000,IF(OR(M362="SNDC",M362="SNDM",M362="CRS",M362="KHG",M362="EARTH"),R362/100,""))</f>
        <v/>
      </c>
    </row>
    <row r="363" customFormat="false" ht="22.35" hidden="false" customHeight="false" outlineLevel="0" collapsed="false">
      <c r="A363" s="6" t="s">
        <v>880</v>
      </c>
      <c r="B363" s="6" t="s">
        <v>881</v>
      </c>
      <c r="C363" s="6" t="s">
        <v>911</v>
      </c>
      <c r="D363" s="9" t="s">
        <v>861</v>
      </c>
      <c r="E363" s="9" t="s">
        <v>912</v>
      </c>
      <c r="F363" s="9"/>
      <c r="G363" s="9" t="s">
        <v>884</v>
      </c>
      <c r="H363" s="12" t="n">
        <v>52</v>
      </c>
      <c r="I363" s="6" t="s">
        <v>118</v>
      </c>
      <c r="J363" s="6" t="s">
        <v>908</v>
      </c>
      <c r="K363" s="6"/>
      <c r="L363" s="6"/>
      <c r="M363" s="6" t="s">
        <v>196</v>
      </c>
      <c r="N363" s="13" t="str">
        <f aca="false">IFERROR(INDEX(Rates!$B$5:$B$84,MATCH(M363,Rates!$A$5:$A$84,0)),"")</f>
        <v>PVC conduit 1¼" heavy gauge</v>
      </c>
      <c r="O363" s="12" t="n">
        <v>52</v>
      </c>
      <c r="P363" s="14" t="str">
        <f aca="false">IFERROR(INDEX(Rates!$C$5:$C$84,MATCH(M363,Rates!$A$5:$A$84,0)),"")</f>
        <v>ft</v>
      </c>
      <c r="Q363" s="15" t="n">
        <f aca="false">IFERROR(INDEX(Rates!$D$5:$D$84,MATCH(M363,Rates!$A$5:$A$84,0)),0)</f>
        <v>0.07</v>
      </c>
      <c r="R363" s="12" t="n">
        <f aca="false">O363*(1+Q363)</f>
        <v>55.64</v>
      </c>
      <c r="S363" s="16" t="n">
        <f aca="false">IFERROR(INDEX(Rates!$E$5:$E$84,MATCH(M363,Rates!$A$5:$A$84,0)),0)</f>
        <v>56</v>
      </c>
      <c r="T363" s="7" t="n">
        <f aca="false">R363*S363</f>
        <v>3115.84</v>
      </c>
      <c r="U363" s="17" t="str">
        <f aca="false">IF(M363="BRK",R363/2000,IF(OR(M363="SNDC",M363="SNDM",M363="CRS",M363="KHG",M363="EARTH"),R363/100,""))</f>
        <v/>
      </c>
    </row>
    <row r="364" customFormat="false" ht="22.35" hidden="false" customHeight="false" outlineLevel="0" collapsed="false">
      <c r="A364" s="6" t="s">
        <v>880</v>
      </c>
      <c r="B364" s="6" t="s">
        <v>881</v>
      </c>
      <c r="C364" s="6" t="s">
        <v>913</v>
      </c>
      <c r="D364" s="9" t="s">
        <v>861</v>
      </c>
      <c r="E364" s="9" t="s">
        <v>914</v>
      </c>
      <c r="F364" s="9"/>
      <c r="G364" s="9" t="s">
        <v>884</v>
      </c>
      <c r="H364" s="12" t="n">
        <v>85</v>
      </c>
      <c r="I364" s="6" t="s">
        <v>118</v>
      </c>
      <c r="J364" s="6" t="s">
        <v>915</v>
      </c>
      <c r="K364" s="6"/>
      <c r="L364" s="6"/>
      <c r="M364" s="6" t="s">
        <v>198</v>
      </c>
      <c r="N364" s="13" t="str">
        <f aca="false">IFERROR(INDEX(Rates!$B$5:$B$84,MATCH(M364,Rates!$A$5:$A$84,0)),"")</f>
        <v>PVC conduit 1½" heavy gauge</v>
      </c>
      <c r="O364" s="12" t="n">
        <v>85</v>
      </c>
      <c r="P364" s="14" t="str">
        <f aca="false">IFERROR(INDEX(Rates!$C$5:$C$84,MATCH(M364,Rates!$A$5:$A$84,0)),"")</f>
        <v>ft</v>
      </c>
      <c r="Q364" s="15" t="n">
        <f aca="false">IFERROR(INDEX(Rates!$D$5:$D$84,MATCH(M364,Rates!$A$5:$A$84,0)),0)</f>
        <v>0.07</v>
      </c>
      <c r="R364" s="12" t="n">
        <f aca="false">O364*(1+Q364)</f>
        <v>90.95</v>
      </c>
      <c r="S364" s="16" t="n">
        <f aca="false">IFERROR(INDEX(Rates!$E$5:$E$84,MATCH(M364,Rates!$A$5:$A$84,0)),0)</f>
        <v>75</v>
      </c>
      <c r="T364" s="7" t="n">
        <f aca="false">R364*S364</f>
        <v>6821.25</v>
      </c>
      <c r="U364" s="17" t="str">
        <f aca="false">IF(M364="BRK",R364/2000,IF(OR(M364="SNDC",M364="SNDM",M364="CRS",M364="KHG",M364="EARTH"),R364/100,""))</f>
        <v/>
      </c>
    </row>
    <row r="365" customFormat="false" ht="22.35" hidden="false" customHeight="false" outlineLevel="0" collapsed="false">
      <c r="A365" s="6" t="s">
        <v>880</v>
      </c>
      <c r="B365" s="6" t="s">
        <v>881</v>
      </c>
      <c r="C365" s="6" t="s">
        <v>916</v>
      </c>
      <c r="D365" s="9" t="s">
        <v>861</v>
      </c>
      <c r="E365" s="9" t="s">
        <v>917</v>
      </c>
      <c r="F365" s="9"/>
      <c r="G365" s="9" t="s">
        <v>884</v>
      </c>
      <c r="H365" s="12" t="n">
        <v>35</v>
      </c>
      <c r="I365" s="6" t="s">
        <v>118</v>
      </c>
      <c r="J365" s="6" t="s">
        <v>915</v>
      </c>
      <c r="K365" s="6"/>
      <c r="L365" s="6"/>
      <c r="M365" s="6" t="s">
        <v>198</v>
      </c>
      <c r="N365" s="13" t="str">
        <f aca="false">IFERROR(INDEX(Rates!$B$5:$B$84,MATCH(M365,Rates!$A$5:$A$84,0)),"")</f>
        <v>PVC conduit 1½" heavy gauge</v>
      </c>
      <c r="O365" s="12" t="n">
        <v>35</v>
      </c>
      <c r="P365" s="14" t="str">
        <f aca="false">IFERROR(INDEX(Rates!$C$5:$C$84,MATCH(M365,Rates!$A$5:$A$84,0)),"")</f>
        <v>ft</v>
      </c>
      <c r="Q365" s="15" t="n">
        <f aca="false">IFERROR(INDEX(Rates!$D$5:$D$84,MATCH(M365,Rates!$A$5:$A$84,0)),0)</f>
        <v>0.07</v>
      </c>
      <c r="R365" s="12" t="n">
        <f aca="false">O365*(1+Q365)</f>
        <v>37.45</v>
      </c>
      <c r="S365" s="16" t="n">
        <f aca="false">IFERROR(INDEX(Rates!$E$5:$E$84,MATCH(M365,Rates!$A$5:$A$84,0)),0)</f>
        <v>75</v>
      </c>
      <c r="T365" s="7" t="n">
        <f aca="false">R365*S365</f>
        <v>2808.75</v>
      </c>
      <c r="U365" s="17" t="str">
        <f aca="false">IF(M365="BRK",R365/2000,IF(OR(M365="SNDC",M365="SNDM",M365="CRS",M365="KHG",M365="EARTH"),R365/100,""))</f>
        <v/>
      </c>
    </row>
    <row r="366" customFormat="false" ht="22.35" hidden="false" customHeight="false" outlineLevel="0" collapsed="false">
      <c r="A366" s="6" t="s">
        <v>880</v>
      </c>
      <c r="B366" s="6" t="s">
        <v>881</v>
      </c>
      <c r="C366" s="6" t="s">
        <v>918</v>
      </c>
      <c r="D366" s="9" t="s">
        <v>861</v>
      </c>
      <c r="E366" s="9" t="s">
        <v>919</v>
      </c>
      <c r="F366" s="9"/>
      <c r="G366" s="9" t="s">
        <v>920</v>
      </c>
      <c r="H366" s="12" t="n">
        <v>1</v>
      </c>
      <c r="I366" s="6" t="s">
        <v>806</v>
      </c>
      <c r="J366" s="6" t="s">
        <v>885</v>
      </c>
      <c r="K366" s="6"/>
      <c r="L366" s="6"/>
      <c r="M366" s="6" t="s">
        <v>200</v>
      </c>
      <c r="N366" s="13" t="str">
        <f aca="false">IFERROR(INDEX(Rates!$B$5:$B$84,MATCH(M366,Rates!$A$5:$A$84,0)),"")</f>
        <v>Conduit bend ¾"</v>
      </c>
      <c r="O366" s="12" t="n">
        <v>267</v>
      </c>
      <c r="P366" s="14" t="str">
        <f aca="false">IFERROR(INDEX(Rates!$C$5:$C$84,MATCH(M366,Rates!$A$5:$A$84,0)),"")</f>
        <v>nos</v>
      </c>
      <c r="Q366" s="15" t="n">
        <f aca="false">IFERROR(INDEX(Rates!$D$5:$D$84,MATCH(M366,Rates!$A$5:$A$84,0)),0)</f>
        <v>0</v>
      </c>
      <c r="R366" s="12" t="n">
        <f aca="false">O366*(1+Q366)</f>
        <v>267</v>
      </c>
      <c r="S366" s="16" t="n">
        <f aca="false">IFERROR(INDEX(Rates!$E$5:$E$84,MATCH(M366,Rates!$A$5:$A$84,0)),0)</f>
        <v>35</v>
      </c>
      <c r="T366" s="7" t="n">
        <f aca="false">R366*S366</f>
        <v>9345</v>
      </c>
      <c r="U366" s="17" t="str">
        <f aca="false">IF(M366="BRK",R366/2000,IF(OR(M366="SNDC",M366="SNDM",M366="CRS",M366="KHG",M366="EARTH"),R366/100,""))</f>
        <v/>
      </c>
    </row>
    <row r="367" customFormat="false" ht="15" hidden="false" customHeight="false" outlineLevel="0" collapsed="false">
      <c r="A367" s="6" t="s">
        <v>880</v>
      </c>
      <c r="B367" s="6" t="s">
        <v>881</v>
      </c>
      <c r="C367" s="6" t="s">
        <v>918</v>
      </c>
      <c r="D367" s="9"/>
      <c r="E367" s="9"/>
      <c r="F367" s="9"/>
      <c r="G367" s="9"/>
      <c r="H367" s="12"/>
      <c r="I367" s="6"/>
      <c r="J367" s="6" t="s">
        <v>885</v>
      </c>
      <c r="K367" s="6"/>
      <c r="L367" s="6"/>
      <c r="M367" s="6" t="s">
        <v>208</v>
      </c>
      <c r="N367" s="13" t="str">
        <f aca="false">IFERROR(INDEX(Rates!$B$5:$B$84,MATCH(M367,Rates!$A$5:$A$84,0)),"")</f>
        <v>Conduit coupler ¾"</v>
      </c>
      <c r="O367" s="12" t="n">
        <v>267</v>
      </c>
      <c r="P367" s="14" t="str">
        <f aca="false">IFERROR(INDEX(Rates!$C$5:$C$84,MATCH(M367,Rates!$A$5:$A$84,0)),"")</f>
        <v>nos</v>
      </c>
      <c r="Q367" s="15" t="n">
        <f aca="false">IFERROR(INDEX(Rates!$D$5:$D$84,MATCH(M367,Rates!$A$5:$A$84,0)),0)</f>
        <v>0</v>
      </c>
      <c r="R367" s="12" t="n">
        <f aca="false">O367*(1+Q367)</f>
        <v>267</v>
      </c>
      <c r="S367" s="16" t="n">
        <f aca="false">IFERROR(INDEX(Rates!$E$5:$E$84,MATCH(M367,Rates!$A$5:$A$84,0)),0)</f>
        <v>15</v>
      </c>
      <c r="T367" s="7" t="n">
        <f aca="false">R367*S367</f>
        <v>4005</v>
      </c>
      <c r="U367" s="17" t="str">
        <f aca="false">IF(M367="BRK",R367/2000,IF(OR(M367="SNDC",M367="SNDM",M367="CRS",M367="KHG",M367="EARTH"),R367/100,""))</f>
        <v/>
      </c>
    </row>
    <row r="368" customFormat="false" ht="15" hidden="false" customHeight="false" outlineLevel="0" collapsed="false">
      <c r="A368" s="6" t="s">
        <v>880</v>
      </c>
      <c r="B368" s="6" t="s">
        <v>881</v>
      </c>
      <c r="C368" s="6" t="s">
        <v>918</v>
      </c>
      <c r="D368" s="9"/>
      <c r="E368" s="9"/>
      <c r="F368" s="9"/>
      <c r="G368" s="9"/>
      <c r="H368" s="12"/>
      <c r="I368" s="6"/>
      <c r="J368" s="6" t="s">
        <v>885</v>
      </c>
      <c r="K368" s="6"/>
      <c r="L368" s="6"/>
      <c r="M368" s="6" t="s">
        <v>202</v>
      </c>
      <c r="N368" s="13" t="str">
        <f aca="false">IFERROR(INDEX(Rates!$B$5:$B$84,MATCH(M368,Rates!$A$5:$A$84,0)),"")</f>
        <v>Conduit bend 1"</v>
      </c>
      <c r="O368" s="12" t="n">
        <v>158</v>
      </c>
      <c r="P368" s="14" t="str">
        <f aca="false">IFERROR(INDEX(Rates!$C$5:$C$84,MATCH(M368,Rates!$A$5:$A$84,0)),"")</f>
        <v>nos</v>
      </c>
      <c r="Q368" s="15" t="n">
        <f aca="false">IFERROR(INDEX(Rates!$D$5:$D$84,MATCH(M368,Rates!$A$5:$A$84,0)),0)</f>
        <v>0</v>
      </c>
      <c r="R368" s="12" t="n">
        <f aca="false">O368*(1+Q368)</f>
        <v>158</v>
      </c>
      <c r="S368" s="16" t="n">
        <f aca="false">IFERROR(INDEX(Rates!$E$5:$E$84,MATCH(M368,Rates!$A$5:$A$84,0)),0)</f>
        <v>55</v>
      </c>
      <c r="T368" s="7" t="n">
        <f aca="false">R368*S368</f>
        <v>8690</v>
      </c>
      <c r="U368" s="17" t="str">
        <f aca="false">IF(M368="BRK",R368/2000,IF(OR(M368="SNDC",M368="SNDM",M368="CRS",M368="KHG",M368="EARTH"),R368/100,""))</f>
        <v/>
      </c>
    </row>
    <row r="369" customFormat="false" ht="15" hidden="false" customHeight="false" outlineLevel="0" collapsed="false">
      <c r="A369" s="6" t="s">
        <v>880</v>
      </c>
      <c r="B369" s="6" t="s">
        <v>881</v>
      </c>
      <c r="C369" s="6" t="s">
        <v>918</v>
      </c>
      <c r="D369" s="9"/>
      <c r="E369" s="9"/>
      <c r="F369" s="9"/>
      <c r="G369" s="9"/>
      <c r="H369" s="12"/>
      <c r="I369" s="6"/>
      <c r="J369" s="6" t="s">
        <v>885</v>
      </c>
      <c r="K369" s="6"/>
      <c r="L369" s="6"/>
      <c r="M369" s="6" t="s">
        <v>210</v>
      </c>
      <c r="N369" s="13" t="str">
        <f aca="false">IFERROR(INDEX(Rates!$B$5:$B$84,MATCH(M369,Rates!$A$5:$A$84,0)),"")</f>
        <v>Conduit coupler 1"</v>
      </c>
      <c r="O369" s="12" t="n">
        <v>158</v>
      </c>
      <c r="P369" s="14" t="str">
        <f aca="false">IFERROR(INDEX(Rates!$C$5:$C$84,MATCH(M369,Rates!$A$5:$A$84,0)),"")</f>
        <v>nos</v>
      </c>
      <c r="Q369" s="15" t="n">
        <f aca="false">IFERROR(INDEX(Rates!$D$5:$D$84,MATCH(M369,Rates!$A$5:$A$84,0)),0)</f>
        <v>0</v>
      </c>
      <c r="R369" s="12" t="n">
        <f aca="false">O369*(1+Q369)</f>
        <v>158</v>
      </c>
      <c r="S369" s="16" t="n">
        <f aca="false">IFERROR(INDEX(Rates!$E$5:$E$84,MATCH(M369,Rates!$A$5:$A$84,0)),0)</f>
        <v>25</v>
      </c>
      <c r="T369" s="7" t="n">
        <f aca="false">R369*S369</f>
        <v>3950</v>
      </c>
      <c r="U369" s="17" t="str">
        <f aca="false">IF(M369="BRK",R369/2000,IF(OR(M369="SNDC",M369="SNDM",M369="CRS",M369="KHG",M369="EARTH"),R369/100,""))</f>
        <v/>
      </c>
    </row>
    <row r="370" customFormat="false" ht="15" hidden="false" customHeight="false" outlineLevel="0" collapsed="false">
      <c r="A370" s="6" t="s">
        <v>880</v>
      </c>
      <c r="B370" s="6" t="s">
        <v>881</v>
      </c>
      <c r="C370" s="6" t="s">
        <v>918</v>
      </c>
      <c r="D370" s="9"/>
      <c r="E370" s="9"/>
      <c r="F370" s="9"/>
      <c r="G370" s="9"/>
      <c r="H370" s="12"/>
      <c r="I370" s="6"/>
      <c r="J370" s="6" t="s">
        <v>885</v>
      </c>
      <c r="K370" s="6"/>
      <c r="L370" s="6"/>
      <c r="M370" s="6" t="s">
        <v>204</v>
      </c>
      <c r="N370" s="13" t="str">
        <f aca="false">IFERROR(INDEX(Rates!$B$5:$B$84,MATCH(M370,Rates!$A$5:$A$84,0)),"")</f>
        <v>Conduit bend 1¼"</v>
      </c>
      <c r="O370" s="12" t="n">
        <v>18</v>
      </c>
      <c r="P370" s="14" t="str">
        <f aca="false">IFERROR(INDEX(Rates!$C$5:$C$84,MATCH(M370,Rates!$A$5:$A$84,0)),"")</f>
        <v>nos</v>
      </c>
      <c r="Q370" s="15" t="n">
        <f aca="false">IFERROR(INDEX(Rates!$D$5:$D$84,MATCH(M370,Rates!$A$5:$A$84,0)),0)</f>
        <v>0</v>
      </c>
      <c r="R370" s="12" t="n">
        <f aca="false">O370*(1+Q370)</f>
        <v>18</v>
      </c>
      <c r="S370" s="16" t="n">
        <f aca="false">IFERROR(INDEX(Rates!$E$5:$E$84,MATCH(M370,Rates!$A$5:$A$84,0)),0)</f>
        <v>90</v>
      </c>
      <c r="T370" s="7" t="n">
        <f aca="false">R370*S370</f>
        <v>1620</v>
      </c>
      <c r="U370" s="17" t="str">
        <f aca="false">IF(M370="BRK",R370/2000,IF(OR(M370="SNDC",M370="SNDM",M370="CRS",M370="KHG",M370="EARTH"),R370/100,""))</f>
        <v/>
      </c>
    </row>
    <row r="371" customFormat="false" ht="15" hidden="false" customHeight="false" outlineLevel="0" collapsed="false">
      <c r="A371" s="6" t="s">
        <v>880</v>
      </c>
      <c r="B371" s="6" t="s">
        <v>881</v>
      </c>
      <c r="C371" s="6" t="s">
        <v>918</v>
      </c>
      <c r="D371" s="9"/>
      <c r="E371" s="9"/>
      <c r="F371" s="9"/>
      <c r="G371" s="9"/>
      <c r="H371" s="12"/>
      <c r="I371" s="6"/>
      <c r="J371" s="6" t="s">
        <v>885</v>
      </c>
      <c r="K371" s="6"/>
      <c r="L371" s="6"/>
      <c r="M371" s="6" t="s">
        <v>212</v>
      </c>
      <c r="N371" s="13" t="str">
        <f aca="false">IFERROR(INDEX(Rates!$B$5:$B$84,MATCH(M371,Rates!$A$5:$A$84,0)),"")</f>
        <v>Conduit coupler 1¼"</v>
      </c>
      <c r="O371" s="12" t="n">
        <v>18</v>
      </c>
      <c r="P371" s="14" t="str">
        <f aca="false">IFERROR(INDEX(Rates!$C$5:$C$84,MATCH(M371,Rates!$A$5:$A$84,0)),"")</f>
        <v>nos</v>
      </c>
      <c r="Q371" s="15" t="n">
        <f aca="false">IFERROR(INDEX(Rates!$D$5:$D$84,MATCH(M371,Rates!$A$5:$A$84,0)),0)</f>
        <v>0</v>
      </c>
      <c r="R371" s="12" t="n">
        <f aca="false">O371*(1+Q371)</f>
        <v>18</v>
      </c>
      <c r="S371" s="16" t="n">
        <f aca="false">IFERROR(INDEX(Rates!$E$5:$E$84,MATCH(M371,Rates!$A$5:$A$84,0)),0)</f>
        <v>40</v>
      </c>
      <c r="T371" s="7" t="n">
        <f aca="false">R371*S371</f>
        <v>720</v>
      </c>
      <c r="U371" s="17" t="str">
        <f aca="false">IF(M371="BRK",R371/2000,IF(OR(M371="SNDC",M371="SNDM",M371="CRS",M371="KHG",M371="EARTH"),R371/100,""))</f>
        <v/>
      </c>
    </row>
    <row r="372" customFormat="false" ht="15" hidden="false" customHeight="false" outlineLevel="0" collapsed="false">
      <c r="A372" s="6" t="s">
        <v>880</v>
      </c>
      <c r="B372" s="6" t="s">
        <v>881</v>
      </c>
      <c r="C372" s="6" t="s">
        <v>918</v>
      </c>
      <c r="D372" s="9"/>
      <c r="E372" s="9"/>
      <c r="F372" s="9"/>
      <c r="G372" s="9"/>
      <c r="H372" s="12"/>
      <c r="I372" s="6"/>
      <c r="J372" s="6" t="s">
        <v>885</v>
      </c>
      <c r="K372" s="6"/>
      <c r="L372" s="6"/>
      <c r="M372" s="6" t="s">
        <v>206</v>
      </c>
      <c r="N372" s="13" t="str">
        <f aca="false">IFERROR(INDEX(Rates!$B$5:$B$84,MATCH(M372,Rates!$A$5:$A$84,0)),"")</f>
        <v>Conduit bend 1½"</v>
      </c>
      <c r="O372" s="12" t="n">
        <v>12</v>
      </c>
      <c r="P372" s="14" t="str">
        <f aca="false">IFERROR(INDEX(Rates!$C$5:$C$84,MATCH(M372,Rates!$A$5:$A$84,0)),"")</f>
        <v>nos</v>
      </c>
      <c r="Q372" s="15" t="n">
        <f aca="false">IFERROR(INDEX(Rates!$D$5:$D$84,MATCH(M372,Rates!$A$5:$A$84,0)),0)</f>
        <v>0</v>
      </c>
      <c r="R372" s="12" t="n">
        <f aca="false">O372*(1+Q372)</f>
        <v>12</v>
      </c>
      <c r="S372" s="16" t="n">
        <f aca="false">IFERROR(INDEX(Rates!$E$5:$E$84,MATCH(M372,Rates!$A$5:$A$84,0)),0)</f>
        <v>120</v>
      </c>
      <c r="T372" s="7" t="n">
        <f aca="false">R372*S372</f>
        <v>1440</v>
      </c>
      <c r="U372" s="17" t="str">
        <f aca="false">IF(M372="BRK",R372/2000,IF(OR(M372="SNDC",M372="SNDM",M372="CRS",M372="KHG",M372="EARTH"),R372/100,""))</f>
        <v/>
      </c>
    </row>
    <row r="373" customFormat="false" ht="15" hidden="false" customHeight="false" outlineLevel="0" collapsed="false">
      <c r="A373" s="6" t="s">
        <v>880</v>
      </c>
      <c r="B373" s="6" t="s">
        <v>881</v>
      </c>
      <c r="C373" s="6" t="s">
        <v>918</v>
      </c>
      <c r="D373" s="9"/>
      <c r="E373" s="9"/>
      <c r="F373" s="9"/>
      <c r="G373" s="9"/>
      <c r="H373" s="12"/>
      <c r="I373" s="6"/>
      <c r="J373" s="6" t="s">
        <v>885</v>
      </c>
      <c r="K373" s="6"/>
      <c r="L373" s="6"/>
      <c r="M373" s="6" t="s">
        <v>214</v>
      </c>
      <c r="N373" s="13" t="str">
        <f aca="false">IFERROR(INDEX(Rates!$B$5:$B$84,MATCH(M373,Rates!$A$5:$A$84,0)),"")</f>
        <v>Conduit coupler 1½"</v>
      </c>
      <c r="O373" s="12" t="n">
        <v>12</v>
      </c>
      <c r="P373" s="14" t="str">
        <f aca="false">IFERROR(INDEX(Rates!$C$5:$C$84,MATCH(M373,Rates!$A$5:$A$84,0)),"")</f>
        <v>nos</v>
      </c>
      <c r="Q373" s="15" t="n">
        <f aca="false">IFERROR(INDEX(Rates!$D$5:$D$84,MATCH(M373,Rates!$A$5:$A$84,0)),0)</f>
        <v>0</v>
      </c>
      <c r="R373" s="12" t="n">
        <f aca="false">O373*(1+Q373)</f>
        <v>12</v>
      </c>
      <c r="S373" s="16" t="n">
        <f aca="false">IFERROR(INDEX(Rates!$E$5:$E$84,MATCH(M373,Rates!$A$5:$A$84,0)),0)</f>
        <v>55</v>
      </c>
      <c r="T373" s="7" t="n">
        <f aca="false">R373*S373</f>
        <v>660</v>
      </c>
      <c r="U373" s="17" t="str">
        <f aca="false">IF(M373="BRK",R373/2000,IF(OR(M373="SNDC",M373="SNDM",M373="CRS",M373="KHG",M373="EARTH"),R373/100,""))</f>
        <v/>
      </c>
    </row>
    <row r="374" customFormat="false" ht="15" hidden="false" customHeight="false" outlineLevel="0" collapsed="false">
      <c r="A374" s="6" t="s">
        <v>880</v>
      </c>
      <c r="B374" s="6" t="s">
        <v>881</v>
      </c>
      <c r="C374" s="6" t="s">
        <v>918</v>
      </c>
      <c r="D374" s="9"/>
      <c r="E374" s="9"/>
      <c r="F374" s="9"/>
      <c r="G374" s="9"/>
      <c r="H374" s="12"/>
      <c r="I374" s="6"/>
      <c r="J374" s="6" t="s">
        <v>885</v>
      </c>
      <c r="K374" s="6"/>
      <c r="L374" s="6"/>
      <c r="M374" s="6" t="s">
        <v>216</v>
      </c>
      <c r="N374" s="13" t="str">
        <f aca="false">IFERROR(INDEX(Rates!$B$5:$B$84,MATCH(M374,Rates!$A$5:$A$84,0)),"")</f>
        <v>PVC solvent cement (tin)</v>
      </c>
      <c r="O374" s="12" t="n">
        <v>5</v>
      </c>
      <c r="P374" s="14" t="str">
        <f aca="false">IFERROR(INDEX(Rates!$C$5:$C$84,MATCH(M374,Rates!$A$5:$A$84,0)),"")</f>
        <v>nos</v>
      </c>
      <c r="Q374" s="15" t="n">
        <f aca="false">IFERROR(INDEX(Rates!$D$5:$D$84,MATCH(M374,Rates!$A$5:$A$84,0)),0)</f>
        <v>0</v>
      </c>
      <c r="R374" s="12" t="n">
        <f aca="false">O374*(1+Q374)</f>
        <v>5</v>
      </c>
      <c r="S374" s="16" t="n">
        <f aca="false">IFERROR(INDEX(Rates!$E$5:$E$84,MATCH(M374,Rates!$A$5:$A$84,0)),0)</f>
        <v>600</v>
      </c>
      <c r="T374" s="7" t="n">
        <f aca="false">R374*S374</f>
        <v>3000</v>
      </c>
      <c r="U374" s="17" t="str">
        <f aca="false">IF(M374="BRK",R374/2000,IF(OR(M374="SNDC",M374="SNDM",M374="CRS",M374="KHG",M374="EARTH"),R374/100,""))</f>
        <v/>
      </c>
    </row>
    <row r="375" customFormat="false" ht="43.25" hidden="false" customHeight="false" outlineLevel="0" collapsed="false">
      <c r="A375" s="6" t="s">
        <v>880</v>
      </c>
      <c r="B375" s="6" t="s">
        <v>881</v>
      </c>
      <c r="C375" s="6" t="s">
        <v>921</v>
      </c>
      <c r="D375" s="9" t="s">
        <v>861</v>
      </c>
      <c r="E375" s="9" t="s">
        <v>922</v>
      </c>
      <c r="F375" s="9"/>
      <c r="G375" s="9" t="s">
        <v>923</v>
      </c>
      <c r="H375" s="12" t="n">
        <v>266</v>
      </c>
      <c r="I375" s="6" t="s">
        <v>45</v>
      </c>
      <c r="J375" s="6" t="s">
        <v>924</v>
      </c>
      <c r="K375" s="6"/>
      <c r="L375" s="6"/>
      <c r="M375" s="6" t="s">
        <v>218</v>
      </c>
      <c r="N375" s="13" t="str">
        <f aca="false">IFERROR(INDEX(Rates!$B$5:$B$84,MATCH(M375,Rates!$A$5:$A$84,0)),"")</f>
        <v>Switch-board back box (assorted 3"x3" to 12"x3")</v>
      </c>
      <c r="O375" s="12" t="n">
        <v>39</v>
      </c>
      <c r="P375" s="14" t="str">
        <f aca="false">IFERROR(INDEX(Rates!$C$5:$C$84,MATCH(M375,Rates!$A$5:$A$84,0)),"")</f>
        <v>nos</v>
      </c>
      <c r="Q375" s="15" t="n">
        <f aca="false">IFERROR(INDEX(Rates!$D$5:$D$84,MATCH(M375,Rates!$A$5:$A$84,0)),0)</f>
        <v>0</v>
      </c>
      <c r="R375" s="12" t="n">
        <f aca="false">O375*(1+Q375)</f>
        <v>39</v>
      </c>
      <c r="S375" s="16" t="n">
        <f aca="false">IFERROR(INDEX(Rates!$E$5:$E$84,MATCH(M375,Rates!$A$5:$A$84,0)),0)</f>
        <v>250</v>
      </c>
      <c r="T375" s="7" t="n">
        <f aca="false">R375*S375</f>
        <v>9750</v>
      </c>
      <c r="U375" s="17" t="str">
        <f aca="false">IF(M375="BRK",R375/2000,IF(OR(M375="SNDC",M375="SNDM",M375="CRS",M375="KHG",M375="EARTH"),R375/100,""))</f>
        <v/>
      </c>
    </row>
    <row r="376" customFormat="false" ht="15" hidden="false" customHeight="false" outlineLevel="0" collapsed="false">
      <c r="A376" s="6" t="s">
        <v>880</v>
      </c>
      <c r="B376" s="6" t="s">
        <v>881</v>
      </c>
      <c r="C376" s="6" t="s">
        <v>921</v>
      </c>
      <c r="D376" s="9"/>
      <c r="E376" s="9"/>
      <c r="F376" s="9"/>
      <c r="G376" s="9"/>
      <c r="H376" s="12"/>
      <c r="I376" s="6"/>
      <c r="J376" s="6" t="s">
        <v>924</v>
      </c>
      <c r="K376" s="6"/>
      <c r="L376" s="6"/>
      <c r="M376" s="6" t="s">
        <v>220</v>
      </c>
      <c r="N376" s="13" t="str">
        <f aca="false">IFERROR(INDEX(Rates!$B$5:$B$84,MATCH(M376,Rates!$A$5:$A$84,0)),"")</f>
        <v>Socket back box</v>
      </c>
      <c r="O376" s="12" t="n">
        <v>79</v>
      </c>
      <c r="P376" s="14" t="str">
        <f aca="false">IFERROR(INDEX(Rates!$C$5:$C$84,MATCH(M376,Rates!$A$5:$A$84,0)),"")</f>
        <v>nos</v>
      </c>
      <c r="Q376" s="15" t="n">
        <f aca="false">IFERROR(INDEX(Rates!$D$5:$D$84,MATCH(M376,Rates!$A$5:$A$84,0)),0)</f>
        <v>0</v>
      </c>
      <c r="R376" s="12" t="n">
        <f aca="false">O376*(1+Q376)</f>
        <v>79</v>
      </c>
      <c r="S376" s="16" t="n">
        <f aca="false">IFERROR(INDEX(Rates!$E$5:$E$84,MATCH(M376,Rates!$A$5:$A$84,0)),0)</f>
        <v>120</v>
      </c>
      <c r="T376" s="7" t="n">
        <f aca="false">R376*S376</f>
        <v>9480</v>
      </c>
      <c r="U376" s="17" t="str">
        <f aca="false">IF(M376="BRK",R376/2000,IF(OR(M376="SNDC",M376="SNDM",M376="CRS",M376="KHG",M376="EARTH"),R376/100,""))</f>
        <v/>
      </c>
    </row>
    <row r="377" customFormat="false" ht="15" hidden="false" customHeight="false" outlineLevel="0" collapsed="false">
      <c r="A377" s="6" t="s">
        <v>880</v>
      </c>
      <c r="B377" s="6" t="s">
        <v>881</v>
      </c>
      <c r="C377" s="6" t="s">
        <v>921</v>
      </c>
      <c r="D377" s="9"/>
      <c r="E377" s="9"/>
      <c r="F377" s="9"/>
      <c r="G377" s="9"/>
      <c r="H377" s="12"/>
      <c r="I377" s="6"/>
      <c r="J377" s="6" t="s">
        <v>924</v>
      </c>
      <c r="K377" s="6"/>
      <c r="L377" s="6"/>
      <c r="M377" s="6" t="s">
        <v>222</v>
      </c>
      <c r="N377" s="13" t="str">
        <f aca="false">IFERROR(INDEX(Rates!$B$5:$B$84,MATCH(M377,Rates!$A$5:$A$84,0)),"")</f>
        <v>A.C point box</v>
      </c>
      <c r="O377" s="12" t="n">
        <v>10</v>
      </c>
      <c r="P377" s="14" t="str">
        <f aca="false">IFERROR(INDEX(Rates!$C$5:$C$84,MATCH(M377,Rates!$A$5:$A$84,0)),"")</f>
        <v>nos</v>
      </c>
      <c r="Q377" s="15" t="n">
        <f aca="false">IFERROR(INDEX(Rates!$D$5:$D$84,MATCH(M377,Rates!$A$5:$A$84,0)),0)</f>
        <v>0</v>
      </c>
      <c r="R377" s="12" t="n">
        <f aca="false">O377*(1+Q377)</f>
        <v>10</v>
      </c>
      <c r="S377" s="16" t="n">
        <f aca="false">IFERROR(INDEX(Rates!$E$5:$E$84,MATCH(M377,Rates!$A$5:$A$84,0)),0)</f>
        <v>150</v>
      </c>
      <c r="T377" s="7" t="n">
        <f aca="false">R377*S377</f>
        <v>1500</v>
      </c>
      <c r="U377" s="17" t="str">
        <f aca="false">IF(M377="BRK",R377/2000,IF(OR(M377="SNDC",M377="SNDM",M377="CRS",M377="KHG",M377="EARTH"),R377/100,""))</f>
        <v/>
      </c>
    </row>
    <row r="378" customFormat="false" ht="15" hidden="false" customHeight="false" outlineLevel="0" collapsed="false">
      <c r="A378" s="6" t="s">
        <v>880</v>
      </c>
      <c r="B378" s="6" t="s">
        <v>881</v>
      </c>
      <c r="C378" s="6" t="s">
        <v>921</v>
      </c>
      <c r="D378" s="9"/>
      <c r="E378" s="9"/>
      <c r="F378" s="9"/>
      <c r="G378" s="9"/>
      <c r="H378" s="12"/>
      <c r="I378" s="6"/>
      <c r="J378" s="6" t="s">
        <v>924</v>
      </c>
      <c r="K378" s="6"/>
      <c r="L378" s="6"/>
      <c r="M378" s="6" t="s">
        <v>224</v>
      </c>
      <c r="N378" s="13" t="str">
        <f aca="false">IFERROR(INDEX(Rates!$B$5:$B$84,MATCH(M378,Rates!$A$5:$A$84,0)),"")</f>
        <v>Fan box with hook</v>
      </c>
      <c r="O378" s="12" t="n">
        <v>13</v>
      </c>
      <c r="P378" s="14" t="str">
        <f aca="false">IFERROR(INDEX(Rates!$C$5:$C$84,MATCH(M378,Rates!$A$5:$A$84,0)),"")</f>
        <v>nos</v>
      </c>
      <c r="Q378" s="15" t="n">
        <f aca="false">IFERROR(INDEX(Rates!$D$5:$D$84,MATCH(M378,Rates!$A$5:$A$84,0)),0)</f>
        <v>0</v>
      </c>
      <c r="R378" s="12" t="n">
        <f aca="false">O378*(1+Q378)</f>
        <v>13</v>
      </c>
      <c r="S378" s="16" t="n">
        <f aca="false">IFERROR(INDEX(Rates!$E$5:$E$84,MATCH(M378,Rates!$A$5:$A$84,0)),0)</f>
        <v>180</v>
      </c>
      <c r="T378" s="7" t="n">
        <f aca="false">R378*S378</f>
        <v>2340</v>
      </c>
      <c r="U378" s="17" t="str">
        <f aca="false">IF(M378="BRK",R378/2000,IF(OR(M378="SNDC",M378="SNDM",M378="CRS",M378="KHG",M378="EARTH"),R378/100,""))</f>
        <v/>
      </c>
    </row>
    <row r="379" customFormat="false" ht="15" hidden="false" customHeight="false" outlineLevel="0" collapsed="false">
      <c r="A379" s="6" t="s">
        <v>880</v>
      </c>
      <c r="B379" s="6" t="s">
        <v>881</v>
      </c>
      <c r="C379" s="6" t="s">
        <v>921</v>
      </c>
      <c r="D379" s="9"/>
      <c r="E379" s="9"/>
      <c r="F379" s="9"/>
      <c r="G379" s="9"/>
      <c r="H379" s="12"/>
      <c r="I379" s="6"/>
      <c r="J379" s="6" t="s">
        <v>924</v>
      </c>
      <c r="K379" s="6"/>
      <c r="L379" s="6"/>
      <c r="M379" s="6" t="s">
        <v>226</v>
      </c>
      <c r="N379" s="13" t="str">
        <f aca="false">IFERROR(INDEX(Rates!$B$5:$B$84,MATCH(M379,Rates!$A$5:$A$84,0)),"")</f>
        <v>Round light junction box</v>
      </c>
      <c r="O379" s="12" t="n">
        <v>110</v>
      </c>
      <c r="P379" s="14" t="str">
        <f aca="false">IFERROR(INDEX(Rates!$C$5:$C$84,MATCH(M379,Rates!$A$5:$A$84,0)),"")</f>
        <v>nos</v>
      </c>
      <c r="Q379" s="15" t="n">
        <f aca="false">IFERROR(INDEX(Rates!$D$5:$D$84,MATCH(M379,Rates!$A$5:$A$84,0)),0)</f>
        <v>0</v>
      </c>
      <c r="R379" s="12" t="n">
        <f aca="false">O379*(1+Q379)</f>
        <v>110</v>
      </c>
      <c r="S379" s="16" t="n">
        <f aca="false">IFERROR(INDEX(Rates!$E$5:$E$84,MATCH(M379,Rates!$A$5:$A$84,0)),0)</f>
        <v>60</v>
      </c>
      <c r="T379" s="7" t="n">
        <f aca="false">R379*S379</f>
        <v>6600</v>
      </c>
      <c r="U379" s="17" t="str">
        <f aca="false">IF(M379="BRK",R379/2000,IF(OR(M379="SNDC",M379="SNDM",M379="CRS",M379="KHG",M379="EARTH"),R379/100,""))</f>
        <v/>
      </c>
    </row>
    <row r="380" customFormat="false" ht="15" hidden="false" customHeight="false" outlineLevel="0" collapsed="false">
      <c r="A380" s="6" t="s">
        <v>880</v>
      </c>
      <c r="B380" s="6" t="s">
        <v>881</v>
      </c>
      <c r="C380" s="6" t="s">
        <v>921</v>
      </c>
      <c r="D380" s="9"/>
      <c r="E380" s="9"/>
      <c r="F380" s="9"/>
      <c r="G380" s="9"/>
      <c r="H380" s="12"/>
      <c r="I380" s="6"/>
      <c r="J380" s="6" t="s">
        <v>924</v>
      </c>
      <c r="K380" s="6"/>
      <c r="L380" s="6"/>
      <c r="M380" s="6" t="s">
        <v>228</v>
      </c>
      <c r="N380" s="13" t="str">
        <f aca="false">IFERROR(INDEX(Rates!$B$5:$B$84,MATCH(M380,Rates!$A$5:$A$84,0)),"")</f>
        <v>Ceiling box for Wi-Fi access point</v>
      </c>
      <c r="O380" s="12" t="n">
        <v>5</v>
      </c>
      <c r="P380" s="14" t="str">
        <f aca="false">IFERROR(INDEX(Rates!$C$5:$C$84,MATCH(M380,Rates!$A$5:$A$84,0)),"")</f>
        <v>nos</v>
      </c>
      <c r="Q380" s="15" t="n">
        <f aca="false">IFERROR(INDEX(Rates!$D$5:$D$84,MATCH(M380,Rates!$A$5:$A$84,0)),0)</f>
        <v>0</v>
      </c>
      <c r="R380" s="12" t="n">
        <f aca="false">O380*(1+Q380)</f>
        <v>5</v>
      </c>
      <c r="S380" s="16" t="n">
        <f aca="false">IFERROR(INDEX(Rates!$E$5:$E$84,MATCH(M380,Rates!$A$5:$A$84,0)),0)</f>
        <v>150</v>
      </c>
      <c r="T380" s="7" t="n">
        <f aca="false">R380*S380</f>
        <v>750</v>
      </c>
      <c r="U380" s="17" t="str">
        <f aca="false">IF(M380="BRK",R380/2000,IF(OR(M380="SNDC",M380="SNDM",M380="CRS",M380="KHG",M380="EARTH"),R380/100,""))</f>
        <v/>
      </c>
    </row>
    <row r="381" customFormat="false" ht="15" hidden="false" customHeight="false" outlineLevel="0" collapsed="false">
      <c r="A381" s="6" t="s">
        <v>880</v>
      </c>
      <c r="B381" s="6" t="s">
        <v>881</v>
      </c>
      <c r="C381" s="6" t="s">
        <v>921</v>
      </c>
      <c r="D381" s="9"/>
      <c r="E381" s="9"/>
      <c r="F381" s="9"/>
      <c r="G381" s="9"/>
      <c r="H381" s="12"/>
      <c r="I381" s="6"/>
      <c r="J381" s="6" t="s">
        <v>924</v>
      </c>
      <c r="K381" s="6"/>
      <c r="L381" s="6"/>
      <c r="M381" s="6" t="s">
        <v>230</v>
      </c>
      <c r="N381" s="13" t="str">
        <f aca="false">IFERROR(INDEX(Rates!$B$5:$B$84,MATCH(M381,Rates!$A$5:$A$84,0)),"")</f>
        <v>CCTV camera junction box</v>
      </c>
      <c r="O381" s="12" t="n">
        <v>7</v>
      </c>
      <c r="P381" s="14" t="str">
        <f aca="false">IFERROR(INDEX(Rates!$C$5:$C$84,MATCH(M381,Rates!$A$5:$A$84,0)),"")</f>
        <v>nos</v>
      </c>
      <c r="Q381" s="15" t="n">
        <f aca="false">IFERROR(INDEX(Rates!$D$5:$D$84,MATCH(M381,Rates!$A$5:$A$84,0)),0)</f>
        <v>0</v>
      </c>
      <c r="R381" s="12" t="n">
        <f aca="false">O381*(1+Q381)</f>
        <v>7</v>
      </c>
      <c r="S381" s="16" t="n">
        <f aca="false">IFERROR(INDEX(Rates!$E$5:$E$84,MATCH(M381,Rates!$A$5:$A$84,0)),0)</f>
        <v>150</v>
      </c>
      <c r="T381" s="7" t="n">
        <f aca="false">R381*S381</f>
        <v>1050</v>
      </c>
      <c r="U381" s="17" t="str">
        <f aca="false">IF(M381="BRK",R381/2000,IF(OR(M381="SNDC",M381="SNDM",M381="CRS",M381="KHG",M381="EARTH"),R381/100,""))</f>
        <v/>
      </c>
    </row>
    <row r="382" customFormat="false" ht="15" hidden="false" customHeight="false" outlineLevel="0" collapsed="false">
      <c r="A382" s="6" t="s">
        <v>880</v>
      </c>
      <c r="B382" s="6" t="s">
        <v>881</v>
      </c>
      <c r="C382" s="6" t="s">
        <v>921</v>
      </c>
      <c r="D382" s="9"/>
      <c r="E382" s="9"/>
      <c r="F382" s="9"/>
      <c r="G382" s="9"/>
      <c r="H382" s="12"/>
      <c r="I382" s="6"/>
      <c r="J382" s="6" t="s">
        <v>924</v>
      </c>
      <c r="K382" s="6"/>
      <c r="L382" s="6"/>
      <c r="M382" s="6" t="s">
        <v>232</v>
      </c>
      <c r="N382" s="13" t="str">
        <f aca="false">IFERROR(INDEX(Rates!$B$5:$B$84,MATCH(M382,Rates!$A$5:$A$84,0)),"")</f>
        <v>NVR / router enclosure box</v>
      </c>
      <c r="O382" s="12" t="n">
        <v>1</v>
      </c>
      <c r="P382" s="14" t="str">
        <f aca="false">IFERROR(INDEX(Rates!$C$5:$C$84,MATCH(M382,Rates!$A$5:$A$84,0)),"")</f>
        <v>nos</v>
      </c>
      <c r="Q382" s="15" t="n">
        <f aca="false">IFERROR(INDEX(Rates!$D$5:$D$84,MATCH(M382,Rates!$A$5:$A$84,0)),0)</f>
        <v>0</v>
      </c>
      <c r="R382" s="12" t="n">
        <f aca="false">O382*(1+Q382)</f>
        <v>1</v>
      </c>
      <c r="S382" s="16" t="n">
        <f aca="false">IFERROR(INDEX(Rates!$E$5:$E$84,MATCH(M382,Rates!$A$5:$A$84,0)),0)</f>
        <v>400</v>
      </c>
      <c r="T382" s="7" t="n">
        <f aca="false">R382*S382</f>
        <v>400</v>
      </c>
      <c r="U382" s="17" t="str">
        <f aca="false">IF(M382="BRK",R382/2000,IF(OR(M382="SNDC",M382="SNDM",M382="CRS",M382="KHG",M382="EARTH"),R382/100,""))</f>
        <v/>
      </c>
    </row>
    <row r="383" customFormat="false" ht="15" hidden="false" customHeight="false" outlineLevel="0" collapsed="false">
      <c r="A383" s="6" t="s">
        <v>880</v>
      </c>
      <c r="B383" s="6" t="s">
        <v>881</v>
      </c>
      <c r="C383" s="6" t="s">
        <v>921</v>
      </c>
      <c r="D383" s="9"/>
      <c r="E383" s="9"/>
      <c r="F383" s="9"/>
      <c r="G383" s="9"/>
      <c r="H383" s="12"/>
      <c r="I383" s="6"/>
      <c r="J383" s="6" t="s">
        <v>924</v>
      </c>
      <c r="K383" s="6"/>
      <c r="L383" s="6"/>
      <c r="M383" s="6" t="s">
        <v>234</v>
      </c>
      <c r="N383" s="13" t="str">
        <f aca="false">IFERROR(INDEX(Rates!$B$5:$B$84,MATCH(M383,Rates!$A$5:$A$84,0)),"")</f>
        <v>Bell push box</v>
      </c>
      <c r="O383" s="12" t="n">
        <v>2</v>
      </c>
      <c r="P383" s="14" t="str">
        <f aca="false">IFERROR(INDEX(Rates!$C$5:$C$84,MATCH(M383,Rates!$A$5:$A$84,0)),"")</f>
        <v>nos</v>
      </c>
      <c r="Q383" s="15" t="n">
        <f aca="false">IFERROR(INDEX(Rates!$D$5:$D$84,MATCH(M383,Rates!$A$5:$A$84,0)),0)</f>
        <v>0</v>
      </c>
      <c r="R383" s="12" t="n">
        <f aca="false">O383*(1+Q383)</f>
        <v>2</v>
      </c>
      <c r="S383" s="16" t="n">
        <f aca="false">IFERROR(INDEX(Rates!$E$5:$E$84,MATCH(M383,Rates!$A$5:$A$84,0)),0)</f>
        <v>120</v>
      </c>
      <c r="T383" s="7" t="n">
        <f aca="false">R383*S383</f>
        <v>240</v>
      </c>
      <c r="U383" s="17" t="str">
        <f aca="false">IF(M383="BRK",R383/2000,IF(OR(M383="SNDC",M383="SNDM",M383="CRS",M383="KHG",M383="EARTH"),R383/100,""))</f>
        <v/>
      </c>
    </row>
    <row r="384" customFormat="false" ht="32.8" hidden="false" customHeight="false" outlineLevel="0" collapsed="false">
      <c r="A384" s="6" t="s">
        <v>880</v>
      </c>
      <c r="B384" s="6" t="s">
        <v>881</v>
      </c>
      <c r="C384" s="6" t="s">
        <v>925</v>
      </c>
      <c r="D384" s="9" t="s">
        <v>926</v>
      </c>
      <c r="E384" s="9" t="s">
        <v>927</v>
      </c>
      <c r="F384" s="9" t="s">
        <v>928</v>
      </c>
      <c r="G384" s="9" t="s">
        <v>929</v>
      </c>
      <c r="H384" s="12" t="n">
        <v>7</v>
      </c>
      <c r="I384" s="6" t="s">
        <v>45</v>
      </c>
      <c r="J384" s="6" t="s">
        <v>930</v>
      </c>
      <c r="K384" s="6"/>
      <c r="L384" s="6"/>
      <c r="M384" s="6" t="s">
        <v>236</v>
      </c>
      <c r="N384" s="13" t="str">
        <f aca="false">IFERROR(INDEX(Rates!$B$5:$B$84,MATCH(M384,Rates!$A$5:$A$84,0)),"")</f>
        <v>DB enclosure 12-way (empty)</v>
      </c>
      <c r="O384" s="12" t="n">
        <v>1</v>
      </c>
      <c r="P384" s="14" t="str">
        <f aca="false">IFERROR(INDEX(Rates!$C$5:$C$84,MATCH(M384,Rates!$A$5:$A$84,0)),"")</f>
        <v>nos</v>
      </c>
      <c r="Q384" s="15" t="n">
        <f aca="false">IFERROR(INDEX(Rates!$D$5:$D$84,MATCH(M384,Rates!$A$5:$A$84,0)),0)</f>
        <v>0</v>
      </c>
      <c r="R384" s="12" t="n">
        <f aca="false">O384*(1+Q384)</f>
        <v>1</v>
      </c>
      <c r="S384" s="16" t="n">
        <f aca="false">IFERROR(INDEX(Rates!$E$5:$E$84,MATCH(M384,Rates!$A$5:$A$84,0)),0)</f>
        <v>4500</v>
      </c>
      <c r="T384" s="7" t="n">
        <f aca="false">R384*S384</f>
        <v>4500</v>
      </c>
      <c r="U384" s="17" t="str">
        <f aca="false">IF(M384="BRK",R384/2000,IF(OR(M384="SNDC",M384="SNDM",M384="CRS",M384="KHG",M384="EARTH"),R384/100,""))</f>
        <v/>
      </c>
    </row>
    <row r="385" customFormat="false" ht="15" hidden="false" customHeight="false" outlineLevel="0" collapsed="false">
      <c r="A385" s="6" t="s">
        <v>880</v>
      </c>
      <c r="B385" s="6" t="s">
        <v>881</v>
      </c>
      <c r="C385" s="6" t="s">
        <v>925</v>
      </c>
      <c r="D385" s="9"/>
      <c r="E385" s="9"/>
      <c r="F385" s="9"/>
      <c r="G385" s="9"/>
      <c r="H385" s="12"/>
      <c r="I385" s="6"/>
      <c r="J385" s="6" t="s">
        <v>930</v>
      </c>
      <c r="K385" s="6"/>
      <c r="L385" s="6"/>
      <c r="M385" s="6" t="s">
        <v>238</v>
      </c>
      <c r="N385" s="13" t="str">
        <f aca="false">IFERROR(INDEX(Rates!$B$5:$B$84,MATCH(M385,Rates!$A$5:$A$84,0)),"")</f>
        <v>DB enclosure 8-way (empty)</v>
      </c>
      <c r="O385" s="12" t="n">
        <v>2</v>
      </c>
      <c r="P385" s="14" t="str">
        <f aca="false">IFERROR(INDEX(Rates!$C$5:$C$84,MATCH(M385,Rates!$A$5:$A$84,0)),"")</f>
        <v>nos</v>
      </c>
      <c r="Q385" s="15" t="n">
        <f aca="false">IFERROR(INDEX(Rates!$D$5:$D$84,MATCH(M385,Rates!$A$5:$A$84,0)),0)</f>
        <v>0</v>
      </c>
      <c r="R385" s="12" t="n">
        <f aca="false">O385*(1+Q385)</f>
        <v>2</v>
      </c>
      <c r="S385" s="16" t="n">
        <f aca="false">IFERROR(INDEX(Rates!$E$5:$E$84,MATCH(M385,Rates!$A$5:$A$84,0)),0)</f>
        <v>3200</v>
      </c>
      <c r="T385" s="7" t="n">
        <f aca="false">R385*S385</f>
        <v>6400</v>
      </c>
      <c r="U385" s="17" t="str">
        <f aca="false">IF(M385="BRK",R385/2000,IF(OR(M385="SNDC",M385="SNDM",M385="CRS",M385="KHG",M385="EARTH"),R385/100,""))</f>
        <v/>
      </c>
    </row>
    <row r="386" customFormat="false" ht="15" hidden="false" customHeight="false" outlineLevel="0" collapsed="false">
      <c r="A386" s="6" t="s">
        <v>880</v>
      </c>
      <c r="B386" s="6" t="s">
        <v>881</v>
      </c>
      <c r="C386" s="6" t="s">
        <v>925</v>
      </c>
      <c r="D386" s="9"/>
      <c r="E386" s="9"/>
      <c r="F386" s="9"/>
      <c r="G386" s="9"/>
      <c r="H386" s="12"/>
      <c r="I386" s="6"/>
      <c r="J386" s="6" t="s">
        <v>930</v>
      </c>
      <c r="K386" s="6"/>
      <c r="L386" s="6"/>
      <c r="M386" s="6" t="s">
        <v>240</v>
      </c>
      <c r="N386" s="13" t="str">
        <f aca="false">IFERROR(INDEX(Rates!$B$5:$B$84,MATCH(M386,Rates!$A$5:$A$84,0)),"")</f>
        <v>DB enclosure 6-way (empty)</v>
      </c>
      <c r="O386" s="12" t="n">
        <v>1</v>
      </c>
      <c r="P386" s="14" t="str">
        <f aca="false">IFERROR(INDEX(Rates!$C$5:$C$84,MATCH(M386,Rates!$A$5:$A$84,0)),"")</f>
        <v>nos</v>
      </c>
      <c r="Q386" s="15" t="n">
        <f aca="false">IFERROR(INDEX(Rates!$D$5:$D$84,MATCH(M386,Rates!$A$5:$A$84,0)),0)</f>
        <v>0</v>
      </c>
      <c r="R386" s="12" t="n">
        <f aca="false">O386*(1+Q386)</f>
        <v>1</v>
      </c>
      <c r="S386" s="16" t="n">
        <f aca="false">IFERROR(INDEX(Rates!$E$5:$E$84,MATCH(M386,Rates!$A$5:$A$84,0)),0)</f>
        <v>2800</v>
      </c>
      <c r="T386" s="7" t="n">
        <f aca="false">R386*S386</f>
        <v>2800</v>
      </c>
      <c r="U386" s="17" t="str">
        <f aca="false">IF(M386="BRK",R386/2000,IF(OR(M386="SNDC",M386="SNDM",M386="CRS",M386="KHG",M386="EARTH"),R386/100,""))</f>
        <v/>
      </c>
    </row>
    <row r="387" customFormat="false" ht="15" hidden="false" customHeight="false" outlineLevel="0" collapsed="false">
      <c r="A387" s="6" t="s">
        <v>880</v>
      </c>
      <c r="B387" s="6" t="s">
        <v>881</v>
      </c>
      <c r="C387" s="6" t="s">
        <v>925</v>
      </c>
      <c r="D387" s="9"/>
      <c r="E387" s="9"/>
      <c r="F387" s="9"/>
      <c r="G387" s="9"/>
      <c r="H387" s="12"/>
      <c r="I387" s="6"/>
      <c r="J387" s="6" t="s">
        <v>930</v>
      </c>
      <c r="K387" s="6"/>
      <c r="L387" s="6"/>
      <c r="M387" s="6" t="s">
        <v>242</v>
      </c>
      <c r="N387" s="13" t="str">
        <f aca="false">IFERROR(INDEX(Rates!$B$5:$B$84,MATCH(M387,Rates!$A$5:$A$84,0)),"")</f>
        <v>DB enclosure 4-way (empty)</v>
      </c>
      <c r="O387" s="12" t="n">
        <v>2</v>
      </c>
      <c r="P387" s="14" t="str">
        <f aca="false">IFERROR(INDEX(Rates!$C$5:$C$84,MATCH(M387,Rates!$A$5:$A$84,0)),"")</f>
        <v>nos</v>
      </c>
      <c r="Q387" s="15" t="n">
        <f aca="false">IFERROR(INDEX(Rates!$D$5:$D$84,MATCH(M387,Rates!$A$5:$A$84,0)),0)</f>
        <v>0</v>
      </c>
      <c r="R387" s="12" t="n">
        <f aca="false">O387*(1+Q387)</f>
        <v>2</v>
      </c>
      <c r="S387" s="16" t="n">
        <f aca="false">IFERROR(INDEX(Rates!$E$5:$E$84,MATCH(M387,Rates!$A$5:$A$84,0)),0)</f>
        <v>2000</v>
      </c>
      <c r="T387" s="7" t="n">
        <f aca="false">R387*S387</f>
        <v>4000</v>
      </c>
      <c r="U387" s="17" t="str">
        <f aca="false">IF(M387="BRK",R387/2000,IF(OR(M387="SNDC",M387="SNDM",M387="CRS",M387="KHG",M387="EARTH"),R387/100,""))</f>
        <v/>
      </c>
    </row>
    <row r="388" customFormat="false" ht="15" hidden="false" customHeight="false" outlineLevel="0" collapsed="false">
      <c r="A388" s="6" t="s">
        <v>880</v>
      </c>
      <c r="B388" s="6" t="s">
        <v>881</v>
      </c>
      <c r="C388" s="6" t="s">
        <v>925</v>
      </c>
      <c r="D388" s="9"/>
      <c r="E388" s="9"/>
      <c r="F388" s="9"/>
      <c r="G388" s="9"/>
      <c r="H388" s="12"/>
      <c r="I388" s="6"/>
      <c r="J388" s="6" t="s">
        <v>930</v>
      </c>
      <c r="K388" s="6"/>
      <c r="L388" s="6"/>
      <c r="M388" s="6" t="s">
        <v>244</v>
      </c>
      <c r="N388" s="13" t="str">
        <f aca="false">IFERROR(INDEX(Rates!$B$5:$B$84,MATCH(M388,Rates!$A$5:$A$84,0)),"")</f>
        <v>EV charger isolator enclosure</v>
      </c>
      <c r="O388" s="12" t="n">
        <v>1</v>
      </c>
      <c r="P388" s="14" t="str">
        <f aca="false">IFERROR(INDEX(Rates!$C$5:$C$84,MATCH(M388,Rates!$A$5:$A$84,0)),"")</f>
        <v>nos</v>
      </c>
      <c r="Q388" s="15" t="n">
        <f aca="false">IFERROR(INDEX(Rates!$D$5:$D$84,MATCH(M388,Rates!$A$5:$A$84,0)),0)</f>
        <v>0</v>
      </c>
      <c r="R388" s="12" t="n">
        <f aca="false">O388*(1+Q388)</f>
        <v>1</v>
      </c>
      <c r="S388" s="16" t="n">
        <f aca="false">IFERROR(INDEX(Rates!$E$5:$E$84,MATCH(M388,Rates!$A$5:$A$84,0)),0)</f>
        <v>2500</v>
      </c>
      <c r="T388" s="7" t="n">
        <f aca="false">R388*S388</f>
        <v>2500</v>
      </c>
      <c r="U388" s="17" t="str">
        <f aca="false">IF(M388="BRK",R388/2000,IF(OR(M388="SNDC",M388="SNDM",M388="CRS",M388="KHG",M388="EARTH"),R388/100,""))</f>
        <v/>
      </c>
    </row>
    <row r="389" customFormat="false" ht="32.8" hidden="false" customHeight="false" outlineLevel="0" collapsed="false">
      <c r="A389" s="6" t="s">
        <v>880</v>
      </c>
      <c r="B389" s="6" t="s">
        <v>881</v>
      </c>
      <c r="C389" s="6" t="s">
        <v>931</v>
      </c>
      <c r="D389" s="9" t="s">
        <v>932</v>
      </c>
      <c r="E389" s="9" t="s">
        <v>933</v>
      </c>
      <c r="F389" s="9" t="s">
        <v>934</v>
      </c>
      <c r="G389" s="9"/>
      <c r="H389" s="12" t="n">
        <v>3</v>
      </c>
      <c r="I389" s="6" t="s">
        <v>45</v>
      </c>
      <c r="J389" s="6" t="s">
        <v>935</v>
      </c>
      <c r="K389" s="6"/>
      <c r="L389" s="6"/>
      <c r="M389" s="6" t="s">
        <v>246</v>
      </c>
      <c r="N389" s="13" t="str">
        <f aca="false">IFERROR(INDEX(Rates!$B$5:$B$84,MATCH(M389,Rates!$A$5:$A$84,0)),"")</f>
        <v>Copper-bonded earth rod 5/8" x 10 ft</v>
      </c>
      <c r="O389" s="12" t="n">
        <v>3</v>
      </c>
      <c r="P389" s="14" t="str">
        <f aca="false">IFERROR(INDEX(Rates!$C$5:$C$84,MATCH(M389,Rates!$A$5:$A$84,0)),"")</f>
        <v>nos</v>
      </c>
      <c r="Q389" s="15" t="n">
        <f aca="false">IFERROR(INDEX(Rates!$D$5:$D$84,MATCH(M389,Rates!$A$5:$A$84,0)),0)</f>
        <v>0</v>
      </c>
      <c r="R389" s="12" t="n">
        <f aca="false">O389*(1+Q389)</f>
        <v>3</v>
      </c>
      <c r="S389" s="16" t="n">
        <f aca="false">IFERROR(INDEX(Rates!$E$5:$E$84,MATCH(M389,Rates!$A$5:$A$84,0)),0)</f>
        <v>9000</v>
      </c>
      <c r="T389" s="7" t="n">
        <f aca="false">R389*S389</f>
        <v>27000</v>
      </c>
      <c r="U389" s="17" t="str">
        <f aca="false">IF(M389="BRK",R389/2000,IF(OR(M389="SNDC",M389="SNDM",M389="CRS",M389="KHG",M389="EARTH"),R389/100,""))</f>
        <v/>
      </c>
    </row>
    <row r="390" customFormat="false" ht="15" hidden="false" customHeight="false" outlineLevel="0" collapsed="false">
      <c r="A390" s="6" t="s">
        <v>880</v>
      </c>
      <c r="B390" s="6" t="s">
        <v>881</v>
      </c>
      <c r="C390" s="6" t="s">
        <v>931</v>
      </c>
      <c r="D390" s="9"/>
      <c r="E390" s="9"/>
      <c r="F390" s="9"/>
      <c r="G390" s="9"/>
      <c r="H390" s="12"/>
      <c r="I390" s="6"/>
      <c r="J390" s="6" t="s">
        <v>935</v>
      </c>
      <c r="K390" s="6"/>
      <c r="L390" s="6"/>
      <c r="M390" s="6" t="s">
        <v>249</v>
      </c>
      <c r="N390" s="13" t="str">
        <f aca="false">IFERROR(INDEX(Rates!$B$5:$B$84,MATCH(M390,Rates!$A$5:$A$84,0)),"")</f>
        <v>Earthing compound, 25 kg bag</v>
      </c>
      <c r="O390" s="12" t="n">
        <v>6</v>
      </c>
      <c r="P390" s="14" t="str">
        <f aca="false">IFERROR(INDEX(Rates!$C$5:$C$84,MATCH(M390,Rates!$A$5:$A$84,0)),"")</f>
        <v>bag</v>
      </c>
      <c r="Q390" s="15" t="n">
        <f aca="false">IFERROR(INDEX(Rates!$D$5:$D$84,MATCH(M390,Rates!$A$5:$A$84,0)),0)</f>
        <v>0</v>
      </c>
      <c r="R390" s="12" t="n">
        <f aca="false">O390*(1+Q390)</f>
        <v>6</v>
      </c>
      <c r="S390" s="16" t="n">
        <f aca="false">IFERROR(INDEX(Rates!$E$5:$E$84,MATCH(M390,Rates!$A$5:$A$84,0)),0)</f>
        <v>3500</v>
      </c>
      <c r="T390" s="7" t="n">
        <f aca="false">R390*S390</f>
        <v>21000</v>
      </c>
      <c r="U390" s="17" t="str">
        <f aca="false">IF(M390="BRK",R390/2000,IF(OR(M390="SNDC",M390="SNDM",M390="CRS",M390="KHG",M390="EARTH"),R390/100,""))</f>
        <v/>
      </c>
    </row>
    <row r="391" customFormat="false" ht="15" hidden="false" customHeight="false" outlineLevel="0" collapsed="false">
      <c r="A391" s="6" t="s">
        <v>880</v>
      </c>
      <c r="B391" s="6" t="s">
        <v>881</v>
      </c>
      <c r="C391" s="6" t="s">
        <v>931</v>
      </c>
      <c r="D391" s="9"/>
      <c r="E391" s="9"/>
      <c r="F391" s="9"/>
      <c r="G391" s="9"/>
      <c r="H391" s="12"/>
      <c r="I391" s="6"/>
      <c r="J391" s="6" t="s">
        <v>935</v>
      </c>
      <c r="K391" s="6"/>
      <c r="L391" s="6"/>
      <c r="M391" s="6" t="s">
        <v>251</v>
      </c>
      <c r="N391" s="13" t="str">
        <f aca="false">IFERROR(INDEX(Rates!$B$5:$B$84,MATCH(M391,Rates!$A$5:$A$84,0)),"")</f>
        <v>Earth-pit inspection chamber with cover</v>
      </c>
      <c r="O391" s="12" t="n">
        <v>3</v>
      </c>
      <c r="P391" s="14" t="str">
        <f aca="false">IFERROR(INDEX(Rates!$C$5:$C$84,MATCH(M391,Rates!$A$5:$A$84,0)),"")</f>
        <v>nos</v>
      </c>
      <c r="Q391" s="15" t="n">
        <f aca="false">IFERROR(INDEX(Rates!$D$5:$D$84,MATCH(M391,Rates!$A$5:$A$84,0)),0)</f>
        <v>0</v>
      </c>
      <c r="R391" s="12" t="n">
        <f aca="false">O391*(1+Q391)</f>
        <v>3</v>
      </c>
      <c r="S391" s="16" t="n">
        <f aca="false">IFERROR(INDEX(Rates!$E$5:$E$84,MATCH(M391,Rates!$A$5:$A$84,0)),0)</f>
        <v>3000</v>
      </c>
      <c r="T391" s="7" t="n">
        <f aca="false">R391*S391</f>
        <v>9000</v>
      </c>
      <c r="U391" s="17" t="str">
        <f aca="false">IF(M391="BRK",R391/2000,IF(OR(M391="SNDC",M391="SNDM",M391="CRS",M391="KHG",M391="EARTH"),R391/100,""))</f>
        <v/>
      </c>
    </row>
    <row r="392" customFormat="false" ht="22.35" hidden="false" customHeight="false" outlineLevel="0" collapsed="false">
      <c r="A392" s="6" t="s">
        <v>880</v>
      </c>
      <c r="B392" s="6" t="s">
        <v>881</v>
      </c>
      <c r="C392" s="6" t="s">
        <v>936</v>
      </c>
      <c r="D392" s="9" t="s">
        <v>937</v>
      </c>
      <c r="E392" s="9" t="s">
        <v>938</v>
      </c>
      <c r="F392" s="9" t="s">
        <v>939</v>
      </c>
      <c r="G392" s="9" t="s">
        <v>940</v>
      </c>
      <c r="H392" s="12" t="n">
        <v>6</v>
      </c>
      <c r="I392" s="6" t="s">
        <v>118</v>
      </c>
      <c r="J392" s="6" t="s">
        <v>941</v>
      </c>
      <c r="K392" s="6"/>
      <c r="L392" s="6"/>
      <c r="M392" s="6" t="s">
        <v>253</v>
      </c>
      <c r="N392" s="13" t="str">
        <f aca="false">IFERROR(INDEX(Rates!$B$5:$B$84,MATCH(M392,Rates!$A$5:$A$84,0)),"")</f>
        <v>PVC sleeve 2"</v>
      </c>
      <c r="O392" s="12" t="n">
        <v>6</v>
      </c>
      <c r="P392" s="14" t="str">
        <f aca="false">IFERROR(INDEX(Rates!$C$5:$C$84,MATCH(M392,Rates!$A$5:$A$84,0)),"")</f>
        <v>ft</v>
      </c>
      <c r="Q392" s="15" t="n">
        <f aca="false">IFERROR(INDEX(Rates!$D$5:$D$84,MATCH(M392,Rates!$A$5:$A$84,0)),0)</f>
        <v>0</v>
      </c>
      <c r="R392" s="12" t="n">
        <f aca="false">O392*(1+Q392)</f>
        <v>6</v>
      </c>
      <c r="S392" s="16" t="n">
        <f aca="false">IFERROR(INDEX(Rates!$E$5:$E$84,MATCH(M392,Rates!$A$5:$A$84,0)),0)</f>
        <v>120</v>
      </c>
      <c r="T392" s="7" t="n">
        <f aca="false">R392*S392</f>
        <v>720</v>
      </c>
      <c r="U392" s="17" t="str">
        <f aca="false">IF(M392="BRK",R392/2000,IF(OR(M392="SNDC",M392="SNDM",M392="CRS",M392="KHG",M392="EARTH"),R392/100,""))</f>
        <v/>
      </c>
    </row>
    <row r="393" customFormat="false" ht="32.8" hidden="false" customHeight="false" outlineLevel="0" collapsed="false">
      <c r="A393" s="6" t="s">
        <v>880</v>
      </c>
      <c r="B393" s="6" t="s">
        <v>881</v>
      </c>
      <c r="C393" s="6" t="s">
        <v>942</v>
      </c>
      <c r="D393" s="9" t="s">
        <v>943</v>
      </c>
      <c r="E393" s="9" t="s">
        <v>944</v>
      </c>
      <c r="F393" s="9" t="s">
        <v>945</v>
      </c>
      <c r="G393" s="9" t="s">
        <v>946</v>
      </c>
      <c r="H393" s="12" t="n">
        <v>53.125</v>
      </c>
      <c r="I393" s="6" t="s">
        <v>71</v>
      </c>
      <c r="J393" s="6" t="s">
        <v>947</v>
      </c>
      <c r="K393" s="6" t="s">
        <v>257</v>
      </c>
      <c r="L393" s="6"/>
      <c r="M393" s="6" t="s">
        <v>37</v>
      </c>
      <c r="N393" s="13" t="str">
        <f aca="false">IFERROR(INDEX(Rates!$B$5:$B$84,MATCH(M393,Rates!$A$5:$A$84,0)),"")</f>
        <v>Cement OPC, 50 kg bag (Lucky / Bestway / Maple Leaf)</v>
      </c>
      <c r="O393" s="12" t="n">
        <v>9.5321</v>
      </c>
      <c r="P393" s="14" t="str">
        <f aca="false">IFERROR(INDEX(Rates!$C$5:$C$84,MATCH(M393,Rates!$A$5:$A$84,0)),"")</f>
        <v>bag</v>
      </c>
      <c r="Q393" s="15" t="n">
        <f aca="false">IFERROR(INDEX(Rates!$D$5:$D$84,MATCH(M393,Rates!$A$5:$A$84,0)),0)</f>
        <v>0.03</v>
      </c>
      <c r="R393" s="12" t="n">
        <f aca="false">O393*(1+Q393)</f>
        <v>9.818063</v>
      </c>
      <c r="S393" s="16" t="n">
        <f aca="false">IFERROR(INDEX(Rates!$E$5:$E$84,MATCH(M393,Rates!$A$5:$A$84,0)),0)</f>
        <v>1560</v>
      </c>
      <c r="T393" s="7" t="n">
        <f aca="false">R393*S393</f>
        <v>15316.17828</v>
      </c>
      <c r="U393" s="17" t="str">
        <f aca="false">IF(M393="BRK",R393/2000,IF(OR(M393="SNDC",M393="SNDM",M393="CRS",M393="KHG",M393="EARTH"),R393/100,""))</f>
        <v/>
      </c>
    </row>
    <row r="394" customFormat="false" ht="15" hidden="false" customHeight="false" outlineLevel="0" collapsed="false">
      <c r="A394" s="6" t="s">
        <v>880</v>
      </c>
      <c r="B394" s="6" t="s">
        <v>881</v>
      </c>
      <c r="C394" s="6" t="s">
        <v>942</v>
      </c>
      <c r="D394" s="9"/>
      <c r="E394" s="9"/>
      <c r="F394" s="9"/>
      <c r="G394" s="9"/>
      <c r="H394" s="12"/>
      <c r="I394" s="6"/>
      <c r="J394" s="6" t="s">
        <v>947</v>
      </c>
      <c r="K394" s="6" t="s">
        <v>257</v>
      </c>
      <c r="L394" s="6"/>
      <c r="M394" s="6" t="s">
        <v>69</v>
      </c>
      <c r="N394" s="13" t="str">
        <f aca="false">IFERROR(INDEX(Rates!$B$5:$B$84,MATCH(M394,Rates!$A$5:$A$84,0)),"")</f>
        <v>Chenab sand (concrete, screed)</v>
      </c>
      <c r="O394" s="12" t="n">
        <v>23.8304</v>
      </c>
      <c r="P394" s="14" t="str">
        <f aca="false">IFERROR(INDEX(Rates!$C$5:$C$84,MATCH(M394,Rates!$A$5:$A$84,0)),"")</f>
        <v>cft</v>
      </c>
      <c r="Q394" s="15" t="n">
        <f aca="false">IFERROR(INDEX(Rates!$D$5:$D$84,MATCH(M394,Rates!$A$5:$A$84,0)),0)</f>
        <v>0.08</v>
      </c>
      <c r="R394" s="12" t="n">
        <f aca="false">O394*(1+Q394)</f>
        <v>25.736832</v>
      </c>
      <c r="S394" s="16" t="n">
        <f aca="false">IFERROR(INDEX(Rates!$E$5:$E$84,MATCH(M394,Rates!$A$5:$A$84,0)),0)</f>
        <v>65</v>
      </c>
      <c r="T394" s="7" t="n">
        <f aca="false">R394*S394</f>
        <v>1672.89408</v>
      </c>
      <c r="U394" s="17" t="n">
        <f aca="false">IF(M394="BRK",R394/2000,IF(OR(M394="SNDC",M394="SNDM",M394="CRS",M394="KHG",M394="EARTH"),R394/100,""))</f>
        <v>0.25736832</v>
      </c>
    </row>
    <row r="395" customFormat="false" ht="15" hidden="false" customHeight="false" outlineLevel="0" collapsed="false">
      <c r="A395" s="6" t="s">
        <v>880</v>
      </c>
      <c r="B395" s="6" t="s">
        <v>881</v>
      </c>
      <c r="C395" s="6" t="s">
        <v>942</v>
      </c>
      <c r="D395" s="9"/>
      <c r="E395" s="9"/>
      <c r="F395" s="9"/>
      <c r="G395" s="9"/>
      <c r="H395" s="12"/>
      <c r="I395" s="6"/>
      <c r="J395" s="6" t="s">
        <v>947</v>
      </c>
      <c r="K395" s="6" t="s">
        <v>257</v>
      </c>
      <c r="L395" s="6"/>
      <c r="M395" s="6" t="s">
        <v>79</v>
      </c>
      <c r="N395" s="13" t="str">
        <f aca="false">IFERROR(INDEX(Rates!$B$5:$B$84,MATCH(M395,Rates!$A$5:$A$84,0)),"")</f>
        <v>Crush ¾" down, Sargodha (bajri)</v>
      </c>
      <c r="O395" s="12" t="n">
        <v>47.6607</v>
      </c>
      <c r="P395" s="14" t="str">
        <f aca="false">IFERROR(INDEX(Rates!$C$5:$C$84,MATCH(M395,Rates!$A$5:$A$84,0)),"")</f>
        <v>cft</v>
      </c>
      <c r="Q395" s="15" t="n">
        <f aca="false">IFERROR(INDEX(Rates!$D$5:$D$84,MATCH(M395,Rates!$A$5:$A$84,0)),0)</f>
        <v>0.05</v>
      </c>
      <c r="R395" s="12" t="n">
        <f aca="false">O395*(1+Q395)</f>
        <v>50.043735</v>
      </c>
      <c r="S395" s="16" t="n">
        <f aca="false">IFERROR(INDEX(Rates!$E$5:$E$84,MATCH(M395,Rates!$A$5:$A$84,0)),0)</f>
        <v>110</v>
      </c>
      <c r="T395" s="7" t="n">
        <f aca="false">R395*S395</f>
        <v>5504.81085</v>
      </c>
      <c r="U395" s="17" t="n">
        <f aca="false">IF(M395="BRK",R395/2000,IF(OR(M395="SNDC",M395="SNDM",M395="CRS",M395="KHG",M395="EARTH"),R395/100,""))</f>
        <v>0.50043735</v>
      </c>
    </row>
    <row r="396" customFormat="false" ht="22.35" hidden="false" customHeight="false" outlineLevel="0" collapsed="false">
      <c r="A396" s="6" t="s">
        <v>880</v>
      </c>
      <c r="B396" s="6" t="s">
        <v>881</v>
      </c>
      <c r="C396" s="6" t="s">
        <v>942</v>
      </c>
      <c r="D396" s="9"/>
      <c r="E396" s="9"/>
      <c r="F396" s="9"/>
      <c r="G396" s="9"/>
      <c r="H396" s="12"/>
      <c r="I396" s="6"/>
      <c r="J396" s="6" t="s">
        <v>947</v>
      </c>
      <c r="K396" s="6" t="s">
        <v>257</v>
      </c>
      <c r="L396" s="6"/>
      <c r="M396" s="6" t="s">
        <v>56</v>
      </c>
      <c r="N396" s="13" t="str">
        <f aca="false">IFERROR(INDEX(Rates!$B$5:$B$84,MATCH(M396,Rates!$A$5:$A$84,0)),"")</f>
        <v>Steel Grade 60 deformed, #3 (10 mm) (Amreli / Mughal / FF Steel)</v>
      </c>
      <c r="O396" s="12" t="n">
        <v>40.5911</v>
      </c>
      <c r="P396" s="14" t="str">
        <f aca="false">IFERROR(INDEX(Rates!$C$5:$C$84,MATCH(M396,Rates!$A$5:$A$84,0)),"")</f>
        <v>kg</v>
      </c>
      <c r="Q396" s="15" t="n">
        <f aca="false">IFERROR(INDEX(Rates!$D$5:$D$84,MATCH(M396,Rates!$A$5:$A$84,0)),0)</f>
        <v>0.04</v>
      </c>
      <c r="R396" s="12" t="n">
        <f aca="false">O396*(1+Q396)</f>
        <v>42.214744</v>
      </c>
      <c r="S396" s="16" t="n">
        <f aca="false">IFERROR(INDEX(Rates!$E$5:$E$84,MATCH(M396,Rates!$A$5:$A$84,0)),0)</f>
        <v>262</v>
      </c>
      <c r="T396" s="7" t="n">
        <f aca="false">R396*S396</f>
        <v>11060.262928</v>
      </c>
      <c r="U396" s="17" t="str">
        <f aca="false">IF(M396="BRK",R396/2000,IF(OR(M396="SNDC",M396="SNDM",M396="CRS",M396="KHG",M396="EARTH"),R396/100,""))</f>
        <v/>
      </c>
    </row>
    <row r="397" customFormat="false" ht="22.35" hidden="false" customHeight="false" outlineLevel="0" collapsed="false">
      <c r="A397" s="6" t="s">
        <v>880</v>
      </c>
      <c r="B397" s="6" t="s">
        <v>881</v>
      </c>
      <c r="C397" s="6" t="s">
        <v>942</v>
      </c>
      <c r="D397" s="9"/>
      <c r="E397" s="9"/>
      <c r="F397" s="9"/>
      <c r="G397" s="9"/>
      <c r="H397" s="12"/>
      <c r="I397" s="6"/>
      <c r="J397" s="6" t="s">
        <v>947</v>
      </c>
      <c r="K397" s="6" t="s">
        <v>257</v>
      </c>
      <c r="L397" s="6"/>
      <c r="M397" s="6" t="s">
        <v>50</v>
      </c>
      <c r="N397" s="13" t="str">
        <f aca="false">IFERROR(INDEX(Rates!$B$5:$B$84,MATCH(M397,Rates!$A$5:$A$84,0)),"")</f>
        <v>Steel Grade 60 deformed, #2 (6 mm) rings</v>
      </c>
      <c r="O397" s="12" t="n">
        <v>23.1795</v>
      </c>
      <c r="P397" s="14" t="str">
        <f aca="false">IFERROR(INDEX(Rates!$C$5:$C$84,MATCH(M397,Rates!$A$5:$A$84,0)),"")</f>
        <v>kg</v>
      </c>
      <c r="Q397" s="15" t="n">
        <f aca="false">IFERROR(INDEX(Rates!$D$5:$D$84,MATCH(M397,Rates!$A$5:$A$84,0)),0)</f>
        <v>0.04</v>
      </c>
      <c r="R397" s="12" t="n">
        <f aca="false">O397*(1+Q397)</f>
        <v>24.10668</v>
      </c>
      <c r="S397" s="16" t="n">
        <f aca="false">IFERROR(INDEX(Rates!$E$5:$E$84,MATCH(M397,Rates!$A$5:$A$84,0)),0)</f>
        <v>270</v>
      </c>
      <c r="T397" s="7" t="n">
        <f aca="false">R397*S397</f>
        <v>6508.8036</v>
      </c>
      <c r="U397" s="17" t="str">
        <f aca="false">IF(M397="BRK",R397/2000,IF(OR(M397="SNDC",M397="SNDM",M397="CRS",M397="KHG",M397="EARTH"),R397/100,""))</f>
        <v/>
      </c>
    </row>
    <row r="398" customFormat="false" ht="22.35" hidden="false" customHeight="false" outlineLevel="0" collapsed="false">
      <c r="A398" s="6" t="s">
        <v>880</v>
      </c>
      <c r="B398" s="6" t="s">
        <v>881</v>
      </c>
      <c r="C398" s="6" t="s">
        <v>942</v>
      </c>
      <c r="D398" s="9"/>
      <c r="E398" s="9"/>
      <c r="F398" s="9"/>
      <c r="G398" s="9"/>
      <c r="H398" s="12"/>
      <c r="I398" s="6"/>
      <c r="J398" s="6" t="s">
        <v>947</v>
      </c>
      <c r="K398" s="6" t="s">
        <v>257</v>
      </c>
      <c r="L398" s="6"/>
      <c r="M398" s="6" t="s">
        <v>255</v>
      </c>
      <c r="N398" s="13" t="str">
        <f aca="false">IFERROR(INDEX(Rates!$B$5:$B$84,MATCH(M398,Rates!$A$5:$A$84,0)),"")</f>
        <v>M12 x 250 mm galvanised J-bolt with nut and washer</v>
      </c>
      <c r="O398" s="12" t="n">
        <v>68</v>
      </c>
      <c r="P398" s="14" t="str">
        <f aca="false">IFERROR(INDEX(Rates!$C$5:$C$84,MATCH(M398,Rates!$A$5:$A$84,0)),"")</f>
        <v>nos</v>
      </c>
      <c r="Q398" s="15" t="n">
        <f aca="false">IFERROR(INDEX(Rates!$D$5:$D$84,MATCH(M398,Rates!$A$5:$A$84,0)),0)</f>
        <v>0</v>
      </c>
      <c r="R398" s="12" t="n">
        <f aca="false">O398*(1+Q398)</f>
        <v>68</v>
      </c>
      <c r="S398" s="16" t="n">
        <f aca="false">IFERROR(INDEX(Rates!$E$5:$E$84,MATCH(M398,Rates!$A$5:$A$84,0)),0)</f>
        <v>250</v>
      </c>
      <c r="T398" s="7" t="n">
        <f aca="false">R398*S398</f>
        <v>17000</v>
      </c>
      <c r="U398" s="17" t="str">
        <f aca="false">IF(M398="BRK",R398/2000,IF(OR(M398="SNDC",M398="SNDM",M398="CRS",M398="KHG",M398="EARTH"),R398/100,""))</f>
        <v/>
      </c>
    </row>
    <row r="399" customFormat="false" ht="32.8" hidden="false" customHeight="false" outlineLevel="0" collapsed="false">
      <c r="A399" s="6" t="s">
        <v>880</v>
      </c>
      <c r="B399" s="6" t="s">
        <v>881</v>
      </c>
      <c r="C399" s="6" t="s">
        <v>948</v>
      </c>
      <c r="D399" s="9" t="s">
        <v>949</v>
      </c>
      <c r="E399" s="9" t="s">
        <v>950</v>
      </c>
      <c r="F399" s="9" t="s">
        <v>951</v>
      </c>
      <c r="G399" s="9" t="s">
        <v>952</v>
      </c>
      <c r="H399" s="12" t="n">
        <v>2.25</v>
      </c>
      <c r="I399" s="6" t="s">
        <v>71</v>
      </c>
      <c r="J399" s="6" t="s">
        <v>941</v>
      </c>
      <c r="K399" s="6"/>
      <c r="L399" s="6"/>
      <c r="M399" s="6" t="s">
        <v>37</v>
      </c>
      <c r="N399" s="13" t="str">
        <f aca="false">IFERROR(INDEX(Rates!$B$5:$B$84,MATCH(M399,Rates!$A$5:$A$84,0)),"")</f>
        <v>Cement OPC, 50 kg bag (Lucky / Bestway / Maple Leaf)</v>
      </c>
      <c r="O399" s="12" t="n">
        <v>0.4037</v>
      </c>
      <c r="P399" s="14" t="str">
        <f aca="false">IFERROR(INDEX(Rates!$C$5:$C$84,MATCH(M399,Rates!$A$5:$A$84,0)),"")</f>
        <v>bag</v>
      </c>
      <c r="Q399" s="15" t="n">
        <f aca="false">IFERROR(INDEX(Rates!$D$5:$D$84,MATCH(M399,Rates!$A$5:$A$84,0)),0)</f>
        <v>0.03</v>
      </c>
      <c r="R399" s="12" t="n">
        <f aca="false">O399*(1+Q399)</f>
        <v>0.415811</v>
      </c>
      <c r="S399" s="16" t="n">
        <f aca="false">IFERROR(INDEX(Rates!$E$5:$E$84,MATCH(M399,Rates!$A$5:$A$84,0)),0)</f>
        <v>1560</v>
      </c>
      <c r="T399" s="7" t="n">
        <f aca="false">R399*S399</f>
        <v>648.66516</v>
      </c>
      <c r="U399" s="17" t="str">
        <f aca="false">IF(M399="BRK",R399/2000,IF(OR(M399="SNDC",M399="SNDM",M399="CRS",M399="KHG",M399="EARTH"),R399/100,""))</f>
        <v/>
      </c>
    </row>
    <row r="400" customFormat="false" ht="15" hidden="false" customHeight="false" outlineLevel="0" collapsed="false">
      <c r="A400" s="6" t="s">
        <v>880</v>
      </c>
      <c r="B400" s="6" t="s">
        <v>881</v>
      </c>
      <c r="C400" s="6" t="s">
        <v>948</v>
      </c>
      <c r="D400" s="9"/>
      <c r="E400" s="9"/>
      <c r="F400" s="9"/>
      <c r="G400" s="9"/>
      <c r="H400" s="12"/>
      <c r="I400" s="6"/>
      <c r="J400" s="6" t="s">
        <v>941</v>
      </c>
      <c r="K400" s="6"/>
      <c r="L400" s="6"/>
      <c r="M400" s="6" t="s">
        <v>69</v>
      </c>
      <c r="N400" s="13" t="str">
        <f aca="false">IFERROR(INDEX(Rates!$B$5:$B$84,MATCH(M400,Rates!$A$5:$A$84,0)),"")</f>
        <v>Chenab sand (concrete, screed)</v>
      </c>
      <c r="O400" s="12" t="n">
        <v>1.0093</v>
      </c>
      <c r="P400" s="14" t="str">
        <f aca="false">IFERROR(INDEX(Rates!$C$5:$C$84,MATCH(M400,Rates!$A$5:$A$84,0)),"")</f>
        <v>cft</v>
      </c>
      <c r="Q400" s="15" t="n">
        <f aca="false">IFERROR(INDEX(Rates!$D$5:$D$84,MATCH(M400,Rates!$A$5:$A$84,0)),0)</f>
        <v>0.08</v>
      </c>
      <c r="R400" s="12" t="n">
        <f aca="false">O400*(1+Q400)</f>
        <v>1.090044</v>
      </c>
      <c r="S400" s="16" t="n">
        <f aca="false">IFERROR(INDEX(Rates!$E$5:$E$84,MATCH(M400,Rates!$A$5:$A$84,0)),0)</f>
        <v>65</v>
      </c>
      <c r="T400" s="7" t="n">
        <f aca="false">R400*S400</f>
        <v>70.85286</v>
      </c>
      <c r="U400" s="17" t="n">
        <f aca="false">IF(M400="BRK",R400/2000,IF(OR(M400="SNDC",M400="SNDM",M400="CRS",M400="KHG",M400="EARTH"),R400/100,""))</f>
        <v>0.01090044</v>
      </c>
    </row>
    <row r="401" customFormat="false" ht="15" hidden="false" customHeight="false" outlineLevel="0" collapsed="false">
      <c r="A401" s="6" t="s">
        <v>880</v>
      </c>
      <c r="B401" s="6" t="s">
        <v>881</v>
      </c>
      <c r="C401" s="6" t="s">
        <v>948</v>
      </c>
      <c r="D401" s="9"/>
      <c r="E401" s="9"/>
      <c r="F401" s="9"/>
      <c r="G401" s="9"/>
      <c r="H401" s="12"/>
      <c r="I401" s="6"/>
      <c r="J401" s="6" t="s">
        <v>941</v>
      </c>
      <c r="K401" s="6"/>
      <c r="L401" s="6"/>
      <c r="M401" s="6" t="s">
        <v>79</v>
      </c>
      <c r="N401" s="13" t="str">
        <f aca="false">IFERROR(INDEX(Rates!$B$5:$B$84,MATCH(M401,Rates!$A$5:$A$84,0)),"")</f>
        <v>Crush ¾" down, Sargodha (bajri)</v>
      </c>
      <c r="O401" s="12" t="n">
        <v>2.0186</v>
      </c>
      <c r="P401" s="14" t="str">
        <f aca="false">IFERROR(INDEX(Rates!$C$5:$C$84,MATCH(M401,Rates!$A$5:$A$84,0)),"")</f>
        <v>cft</v>
      </c>
      <c r="Q401" s="15" t="n">
        <f aca="false">IFERROR(INDEX(Rates!$D$5:$D$84,MATCH(M401,Rates!$A$5:$A$84,0)),0)</f>
        <v>0.05</v>
      </c>
      <c r="R401" s="12" t="n">
        <f aca="false">O401*(1+Q401)</f>
        <v>2.11953</v>
      </c>
      <c r="S401" s="16" t="n">
        <f aca="false">IFERROR(INDEX(Rates!$E$5:$E$84,MATCH(M401,Rates!$A$5:$A$84,0)),0)</f>
        <v>110</v>
      </c>
      <c r="T401" s="7" t="n">
        <f aca="false">R401*S401</f>
        <v>233.1483</v>
      </c>
      <c r="U401" s="17" t="n">
        <f aca="false">IF(M401="BRK",R401/2000,IF(OR(M401="SNDC",M401="SNDM",M401="CRS",M401="KHG",M401="EARTH"),R401/100,""))</f>
        <v>0.0211953</v>
      </c>
    </row>
    <row r="402" customFormat="false" ht="15" hidden="false" customHeight="false" outlineLevel="0" collapsed="false">
      <c r="A402" s="6" t="s">
        <v>953</v>
      </c>
      <c r="B402" s="6" t="s">
        <v>954</v>
      </c>
      <c r="C402" s="6" t="s">
        <v>955</v>
      </c>
      <c r="D402" s="9" t="s">
        <v>956</v>
      </c>
      <c r="E402" s="9" t="s">
        <v>957</v>
      </c>
      <c r="F402" s="9" t="s">
        <v>958</v>
      </c>
      <c r="G402" s="9" t="s">
        <v>959</v>
      </c>
      <c r="H402" s="12" t="n">
        <v>790.178</v>
      </c>
      <c r="I402" s="6" t="s">
        <v>71</v>
      </c>
      <c r="J402" s="6" t="s">
        <v>960</v>
      </c>
      <c r="K402" s="6"/>
      <c r="L402" s="6" t="s">
        <v>297</v>
      </c>
      <c r="M402" s="6"/>
      <c r="N402" s="13"/>
      <c r="O402" s="12"/>
      <c r="P402" s="14"/>
      <c r="Q402" s="15"/>
      <c r="R402" s="12"/>
      <c r="S402" s="16"/>
      <c r="T402" s="7" t="n">
        <v>0</v>
      </c>
      <c r="U402" s="17"/>
    </row>
    <row r="403" customFormat="false" ht="22.35" hidden="false" customHeight="false" outlineLevel="0" collapsed="false">
      <c r="A403" s="6" t="s">
        <v>953</v>
      </c>
      <c r="B403" s="6" t="s">
        <v>954</v>
      </c>
      <c r="C403" s="6" t="s">
        <v>961</v>
      </c>
      <c r="D403" s="9" t="s">
        <v>956</v>
      </c>
      <c r="E403" s="9" t="s">
        <v>962</v>
      </c>
      <c r="F403" s="9" t="s">
        <v>963</v>
      </c>
      <c r="G403" s="9"/>
      <c r="H403" s="12" t="n">
        <v>79.816</v>
      </c>
      <c r="I403" s="6" t="s">
        <v>71</v>
      </c>
      <c r="J403" s="6" t="s">
        <v>964</v>
      </c>
      <c r="K403" s="6"/>
      <c r="L403" s="6"/>
      <c r="M403" s="6" t="s">
        <v>37</v>
      </c>
      <c r="N403" s="13" t="str">
        <f aca="false">IFERROR(INDEX(Rates!$B$5:$B$84,MATCH(M403,Rates!$A$5:$A$84,0)),"")</f>
        <v>Cement OPC, 50 kg bag (Lucky / Bestway / Maple Leaf)</v>
      </c>
      <c r="O403" s="12" t="n">
        <v>7.7114</v>
      </c>
      <c r="P403" s="14" t="str">
        <f aca="false">IFERROR(INDEX(Rates!$C$5:$C$84,MATCH(M403,Rates!$A$5:$A$84,0)),"")</f>
        <v>bag</v>
      </c>
      <c r="Q403" s="15" t="n">
        <f aca="false">IFERROR(INDEX(Rates!$D$5:$D$84,MATCH(M403,Rates!$A$5:$A$84,0)),0)</f>
        <v>0.03</v>
      </c>
      <c r="R403" s="12" t="n">
        <f aca="false">O403*(1+Q403)</f>
        <v>7.942742</v>
      </c>
      <c r="S403" s="16" t="n">
        <f aca="false">IFERROR(INDEX(Rates!$E$5:$E$84,MATCH(M403,Rates!$A$5:$A$84,0)),0)</f>
        <v>1560</v>
      </c>
      <c r="T403" s="7" t="n">
        <f aca="false">R403*S403</f>
        <v>12390.67752</v>
      </c>
      <c r="U403" s="17" t="str">
        <f aca="false">IF(M403="BRK",R403/2000,IF(OR(M403="SNDC",M403="SNDM",M403="CRS",M403="KHG",M403="EARTH"),R403/100,""))</f>
        <v/>
      </c>
    </row>
    <row r="404" customFormat="false" ht="15" hidden="false" customHeight="false" outlineLevel="0" collapsed="false">
      <c r="A404" s="6" t="s">
        <v>953</v>
      </c>
      <c r="B404" s="6" t="s">
        <v>954</v>
      </c>
      <c r="C404" s="6" t="s">
        <v>961</v>
      </c>
      <c r="D404" s="9"/>
      <c r="E404" s="9"/>
      <c r="F404" s="9"/>
      <c r="G404" s="9"/>
      <c r="H404" s="12"/>
      <c r="I404" s="6"/>
      <c r="J404" s="6" t="s">
        <v>964</v>
      </c>
      <c r="K404" s="6"/>
      <c r="L404" s="6"/>
      <c r="M404" s="6" t="s">
        <v>69</v>
      </c>
      <c r="N404" s="13" t="str">
        <f aca="false">IFERROR(INDEX(Rates!$B$5:$B$84,MATCH(M404,Rates!$A$5:$A$84,0)),"")</f>
        <v>Chenab sand (concrete, screed)</v>
      </c>
      <c r="O404" s="12" t="n">
        <v>38.5572</v>
      </c>
      <c r="P404" s="14" t="str">
        <f aca="false">IFERROR(INDEX(Rates!$C$5:$C$84,MATCH(M404,Rates!$A$5:$A$84,0)),"")</f>
        <v>cft</v>
      </c>
      <c r="Q404" s="15" t="n">
        <f aca="false">IFERROR(INDEX(Rates!$D$5:$D$84,MATCH(M404,Rates!$A$5:$A$84,0)),0)</f>
        <v>0.08</v>
      </c>
      <c r="R404" s="12" t="n">
        <f aca="false">O404*(1+Q404)</f>
        <v>41.641776</v>
      </c>
      <c r="S404" s="16" t="n">
        <f aca="false">IFERROR(INDEX(Rates!$E$5:$E$84,MATCH(M404,Rates!$A$5:$A$84,0)),0)</f>
        <v>65</v>
      </c>
      <c r="T404" s="7" t="n">
        <f aca="false">R404*S404</f>
        <v>2706.71544</v>
      </c>
      <c r="U404" s="17" t="n">
        <f aca="false">IF(M404="BRK",R404/2000,IF(OR(M404="SNDC",M404="SNDM",M404="CRS",M404="KHG",M404="EARTH"),R404/100,""))</f>
        <v>0.41641776</v>
      </c>
    </row>
    <row r="405" customFormat="false" ht="15" hidden="false" customHeight="false" outlineLevel="0" collapsed="false">
      <c r="A405" s="6" t="s">
        <v>953</v>
      </c>
      <c r="B405" s="6" t="s">
        <v>954</v>
      </c>
      <c r="C405" s="6" t="s">
        <v>961</v>
      </c>
      <c r="D405" s="9"/>
      <c r="E405" s="9"/>
      <c r="F405" s="9"/>
      <c r="G405" s="9"/>
      <c r="H405" s="12"/>
      <c r="I405" s="6"/>
      <c r="J405" s="6" t="s">
        <v>964</v>
      </c>
      <c r="K405" s="6"/>
      <c r="L405" s="6"/>
      <c r="M405" s="6" t="s">
        <v>79</v>
      </c>
      <c r="N405" s="13" t="str">
        <f aca="false">IFERROR(INDEX(Rates!$B$5:$B$84,MATCH(M405,Rates!$A$5:$A$84,0)),"")</f>
        <v>Crush ¾" down, Sargodha (bajri)</v>
      </c>
      <c r="O405" s="12" t="n">
        <v>77.1145</v>
      </c>
      <c r="P405" s="14" t="str">
        <f aca="false">IFERROR(INDEX(Rates!$C$5:$C$84,MATCH(M405,Rates!$A$5:$A$84,0)),"")</f>
        <v>cft</v>
      </c>
      <c r="Q405" s="15" t="n">
        <f aca="false">IFERROR(INDEX(Rates!$D$5:$D$84,MATCH(M405,Rates!$A$5:$A$84,0)),0)</f>
        <v>0.05</v>
      </c>
      <c r="R405" s="12" t="n">
        <f aca="false">O405*(1+Q405)</f>
        <v>80.970225</v>
      </c>
      <c r="S405" s="16" t="n">
        <f aca="false">IFERROR(INDEX(Rates!$E$5:$E$84,MATCH(M405,Rates!$A$5:$A$84,0)),0)</f>
        <v>110</v>
      </c>
      <c r="T405" s="7" t="n">
        <f aca="false">R405*S405</f>
        <v>8906.72475</v>
      </c>
      <c r="U405" s="17" t="n">
        <f aca="false">IF(M405="BRK",R405/2000,IF(OR(M405="SNDC",M405="SNDM",M405="CRS",M405="KHG",M405="EARTH"),R405/100,""))</f>
        <v>0.80970225</v>
      </c>
    </row>
    <row r="406" customFormat="false" ht="22.35" hidden="false" customHeight="false" outlineLevel="0" collapsed="false">
      <c r="A406" s="6" t="s">
        <v>953</v>
      </c>
      <c r="B406" s="6" t="s">
        <v>954</v>
      </c>
      <c r="C406" s="6" t="s">
        <v>965</v>
      </c>
      <c r="D406" s="9" t="s">
        <v>956</v>
      </c>
      <c r="E406" s="9" t="s">
        <v>966</v>
      </c>
      <c r="F406" s="9" t="s">
        <v>963</v>
      </c>
      <c r="G406" s="9" t="s">
        <v>967</v>
      </c>
      <c r="H406" s="12" t="n">
        <v>319.264</v>
      </c>
      <c r="I406" s="6" t="s">
        <v>71</v>
      </c>
      <c r="J406" s="6" t="s">
        <v>968</v>
      </c>
      <c r="K406" s="6"/>
      <c r="L406" s="6"/>
      <c r="M406" s="6" t="s">
        <v>37</v>
      </c>
      <c r="N406" s="13" t="str">
        <f aca="false">IFERROR(INDEX(Rates!$B$5:$B$84,MATCH(M406,Rates!$A$5:$A$84,0)),"")</f>
        <v>Cement OPC, 50 kg bag (Lucky / Bestway / Maple Leaf)</v>
      </c>
      <c r="O406" s="12" t="n">
        <v>14.5584</v>
      </c>
      <c r="P406" s="14" t="str">
        <f aca="false">IFERROR(INDEX(Rates!$C$5:$C$84,MATCH(M406,Rates!$A$5:$A$84,0)),"")</f>
        <v>bag</v>
      </c>
      <c r="Q406" s="15" t="n">
        <f aca="false">IFERROR(INDEX(Rates!$D$5:$D$84,MATCH(M406,Rates!$A$5:$A$84,0)),0)</f>
        <v>0.03</v>
      </c>
      <c r="R406" s="12" t="n">
        <f aca="false">O406*(1+Q406)</f>
        <v>14.995152</v>
      </c>
      <c r="S406" s="16" t="n">
        <f aca="false">IFERROR(INDEX(Rates!$E$5:$E$84,MATCH(M406,Rates!$A$5:$A$84,0)),0)</f>
        <v>1560</v>
      </c>
      <c r="T406" s="7" t="n">
        <f aca="false">R406*S406</f>
        <v>23392.43712</v>
      </c>
      <c r="U406" s="17" t="str">
        <f aca="false">IF(M406="BRK",R406/2000,IF(OR(M406="SNDC",M406="SNDM",M406="CRS",M406="KHG",M406="EARTH"),R406/100,""))</f>
        <v/>
      </c>
    </row>
    <row r="407" customFormat="false" ht="15" hidden="false" customHeight="false" outlineLevel="0" collapsed="false">
      <c r="A407" s="6" t="s">
        <v>953</v>
      </c>
      <c r="B407" s="6" t="s">
        <v>954</v>
      </c>
      <c r="C407" s="6" t="s">
        <v>965</v>
      </c>
      <c r="D407" s="9"/>
      <c r="E407" s="9"/>
      <c r="F407" s="9"/>
      <c r="G407" s="9"/>
      <c r="H407" s="12"/>
      <c r="I407" s="6"/>
      <c r="J407" s="6" t="s">
        <v>968</v>
      </c>
      <c r="K407" s="6"/>
      <c r="L407" s="6"/>
      <c r="M407" s="6" t="s">
        <v>76</v>
      </c>
      <c r="N407" s="13" t="str">
        <f aca="false">IFERROR(INDEX(Rates!$B$5:$B$84,MATCH(M407,Rates!$A$5:$A$84,0)),"")</f>
        <v>Ravi sand (mortar, plaster, blinding, fill)</v>
      </c>
      <c r="O407" s="12" t="n">
        <v>109.1882</v>
      </c>
      <c r="P407" s="14" t="str">
        <f aca="false">IFERROR(INDEX(Rates!$C$5:$C$84,MATCH(M407,Rates!$A$5:$A$84,0)),"")</f>
        <v>cft</v>
      </c>
      <c r="Q407" s="15" t="n">
        <f aca="false">IFERROR(INDEX(Rates!$D$5:$D$84,MATCH(M407,Rates!$A$5:$A$84,0)),0)</f>
        <v>0.08</v>
      </c>
      <c r="R407" s="12" t="n">
        <f aca="false">O407*(1+Q407)</f>
        <v>117.923256</v>
      </c>
      <c r="S407" s="16" t="n">
        <f aca="false">IFERROR(INDEX(Rates!$E$5:$E$84,MATCH(M407,Rates!$A$5:$A$84,0)),0)</f>
        <v>40</v>
      </c>
      <c r="T407" s="7" t="n">
        <f aca="false">R407*S407</f>
        <v>4716.93024</v>
      </c>
      <c r="U407" s="17" t="n">
        <f aca="false">IF(M407="BRK",R407/2000,IF(OR(M407="SNDC",M407="SNDM",M407="CRS",M407="KHG",M407="EARTH"),R407/100,""))</f>
        <v>1.17923256</v>
      </c>
    </row>
    <row r="408" customFormat="false" ht="15" hidden="false" customHeight="false" outlineLevel="0" collapsed="false">
      <c r="A408" s="6" t="s">
        <v>953</v>
      </c>
      <c r="B408" s="6" t="s">
        <v>954</v>
      </c>
      <c r="C408" s="6" t="s">
        <v>965</v>
      </c>
      <c r="D408" s="9"/>
      <c r="E408" s="9"/>
      <c r="F408" s="9"/>
      <c r="G408" s="9"/>
      <c r="H408" s="12"/>
      <c r="I408" s="6"/>
      <c r="J408" s="6" t="s">
        <v>968</v>
      </c>
      <c r="K408" s="6"/>
      <c r="L408" s="6"/>
      <c r="M408" s="6" t="s">
        <v>43</v>
      </c>
      <c r="N408" s="13" t="str">
        <f aca="false">IFERROR(INDEX(Rates!$B$5:$B$84,MATCH(M408,Rates!$A$5:$A$84,0)),"")</f>
        <v>Bricks, first class (awwal), 9" x 4½" x 3"</v>
      </c>
      <c r="O408" s="12" t="n">
        <v>4310.0606</v>
      </c>
      <c r="P408" s="14" t="str">
        <f aca="false">IFERROR(INDEX(Rates!$C$5:$C$84,MATCH(M408,Rates!$A$5:$A$84,0)),"")</f>
        <v>nos</v>
      </c>
      <c r="Q408" s="15" t="n">
        <f aca="false">IFERROR(INDEX(Rates!$D$5:$D$84,MATCH(M408,Rates!$A$5:$A$84,0)),0)</f>
        <v>0.05</v>
      </c>
      <c r="R408" s="12" t="n">
        <f aca="false">O408*(1+Q408)</f>
        <v>4525.56363</v>
      </c>
      <c r="S408" s="16" t="n">
        <f aca="false">IFERROR(INDEX(Rates!$E$5:$E$84,MATCH(M408,Rates!$A$5:$A$84,0)),0)</f>
        <v>16</v>
      </c>
      <c r="T408" s="7" t="n">
        <f aca="false">R408*S408</f>
        <v>72409.01808</v>
      </c>
      <c r="U408" s="17" t="n">
        <f aca="false">IF(M408="BRK",R408/2000,IF(OR(M408="SNDC",M408="SNDM",M408="CRS",M408="KHG",M408="EARTH"),R408/100,""))</f>
        <v>2.262781815</v>
      </c>
    </row>
    <row r="409" customFormat="false" ht="22.35" hidden="false" customHeight="false" outlineLevel="0" collapsed="false">
      <c r="A409" s="6" t="s">
        <v>953</v>
      </c>
      <c r="B409" s="6" t="s">
        <v>954</v>
      </c>
      <c r="C409" s="6" t="s">
        <v>969</v>
      </c>
      <c r="D409" s="9" t="s">
        <v>956</v>
      </c>
      <c r="E409" s="9" t="s">
        <v>970</v>
      </c>
      <c r="F409" s="9" t="s">
        <v>971</v>
      </c>
      <c r="G409" s="9"/>
      <c r="H409" s="12" t="n">
        <v>298.92</v>
      </c>
      <c r="I409" s="6" t="s">
        <v>71</v>
      </c>
      <c r="J409" s="6" t="s">
        <v>972</v>
      </c>
      <c r="K409" s="6"/>
      <c r="L409" s="6"/>
      <c r="M409" s="6" t="s">
        <v>37</v>
      </c>
      <c r="N409" s="13" t="str">
        <f aca="false">IFERROR(INDEX(Rates!$B$5:$B$84,MATCH(M409,Rates!$A$5:$A$84,0)),"")</f>
        <v>Cement OPC, 50 kg bag (Lucky / Bestway / Maple Leaf)</v>
      </c>
      <c r="O409" s="12" t="n">
        <v>13.6308</v>
      </c>
      <c r="P409" s="14" t="str">
        <f aca="false">IFERROR(INDEX(Rates!$C$5:$C$84,MATCH(M409,Rates!$A$5:$A$84,0)),"")</f>
        <v>bag</v>
      </c>
      <c r="Q409" s="15" t="n">
        <f aca="false">IFERROR(INDEX(Rates!$D$5:$D$84,MATCH(M409,Rates!$A$5:$A$84,0)),0)</f>
        <v>0.03</v>
      </c>
      <c r="R409" s="12" t="n">
        <f aca="false">O409*(1+Q409)</f>
        <v>14.039724</v>
      </c>
      <c r="S409" s="16" t="n">
        <f aca="false">IFERROR(INDEX(Rates!$E$5:$E$84,MATCH(M409,Rates!$A$5:$A$84,0)),0)</f>
        <v>1560</v>
      </c>
      <c r="T409" s="7" t="n">
        <f aca="false">R409*S409</f>
        <v>21901.96944</v>
      </c>
      <c r="U409" s="17" t="str">
        <f aca="false">IF(M409="BRK",R409/2000,IF(OR(M409="SNDC",M409="SNDM",M409="CRS",M409="KHG",M409="EARTH"),R409/100,""))</f>
        <v/>
      </c>
    </row>
    <row r="410" customFormat="false" ht="15" hidden="false" customHeight="false" outlineLevel="0" collapsed="false">
      <c r="A410" s="6" t="s">
        <v>953</v>
      </c>
      <c r="B410" s="6" t="s">
        <v>954</v>
      </c>
      <c r="C410" s="6" t="s">
        <v>969</v>
      </c>
      <c r="D410" s="9"/>
      <c r="E410" s="9"/>
      <c r="F410" s="9"/>
      <c r="G410" s="9"/>
      <c r="H410" s="12"/>
      <c r="I410" s="6"/>
      <c r="J410" s="6" t="s">
        <v>972</v>
      </c>
      <c r="K410" s="6"/>
      <c r="L410" s="6"/>
      <c r="M410" s="6" t="s">
        <v>76</v>
      </c>
      <c r="N410" s="13" t="str">
        <f aca="false">IFERROR(INDEX(Rates!$B$5:$B$84,MATCH(M410,Rates!$A$5:$A$84,0)),"")</f>
        <v>Ravi sand (mortar, plaster, blinding, fill)</v>
      </c>
      <c r="O410" s="12" t="n">
        <v>102.2307</v>
      </c>
      <c r="P410" s="14" t="str">
        <f aca="false">IFERROR(INDEX(Rates!$C$5:$C$84,MATCH(M410,Rates!$A$5:$A$84,0)),"")</f>
        <v>cft</v>
      </c>
      <c r="Q410" s="15" t="n">
        <f aca="false">IFERROR(INDEX(Rates!$D$5:$D$84,MATCH(M410,Rates!$A$5:$A$84,0)),0)</f>
        <v>0.08</v>
      </c>
      <c r="R410" s="12" t="n">
        <f aca="false">O410*(1+Q410)</f>
        <v>110.409156</v>
      </c>
      <c r="S410" s="16" t="n">
        <f aca="false">IFERROR(INDEX(Rates!$E$5:$E$84,MATCH(M410,Rates!$A$5:$A$84,0)),0)</f>
        <v>40</v>
      </c>
      <c r="T410" s="7" t="n">
        <f aca="false">R410*S410</f>
        <v>4416.36624</v>
      </c>
      <c r="U410" s="17" t="n">
        <f aca="false">IF(M410="BRK",R410/2000,IF(OR(M410="SNDC",M410="SNDM",M410="CRS",M410="KHG",M410="EARTH"),R410/100,""))</f>
        <v>1.10409156</v>
      </c>
    </row>
    <row r="411" customFormat="false" ht="15" hidden="false" customHeight="false" outlineLevel="0" collapsed="false">
      <c r="A411" s="6" t="s">
        <v>953</v>
      </c>
      <c r="B411" s="6" t="s">
        <v>954</v>
      </c>
      <c r="C411" s="6" t="s">
        <v>969</v>
      </c>
      <c r="D411" s="9"/>
      <c r="E411" s="9"/>
      <c r="F411" s="9"/>
      <c r="G411" s="9"/>
      <c r="H411" s="12"/>
      <c r="I411" s="6"/>
      <c r="J411" s="6" t="s">
        <v>972</v>
      </c>
      <c r="K411" s="6"/>
      <c r="L411" s="6"/>
      <c r="M411" s="6" t="s">
        <v>43</v>
      </c>
      <c r="N411" s="13" t="str">
        <f aca="false">IFERROR(INDEX(Rates!$B$5:$B$84,MATCH(M411,Rates!$A$5:$A$84,0)),"")</f>
        <v>Bricks, first class (awwal), 9" x 4½" x 3"</v>
      </c>
      <c r="O411" s="12" t="n">
        <v>4035.4232</v>
      </c>
      <c r="P411" s="14" t="str">
        <f aca="false">IFERROR(INDEX(Rates!$C$5:$C$84,MATCH(M411,Rates!$A$5:$A$84,0)),"")</f>
        <v>nos</v>
      </c>
      <c r="Q411" s="15" t="n">
        <f aca="false">IFERROR(INDEX(Rates!$D$5:$D$84,MATCH(M411,Rates!$A$5:$A$84,0)),0)</f>
        <v>0.05</v>
      </c>
      <c r="R411" s="12" t="n">
        <f aca="false">O411*(1+Q411)</f>
        <v>4237.19436</v>
      </c>
      <c r="S411" s="16" t="n">
        <f aca="false">IFERROR(INDEX(Rates!$E$5:$E$84,MATCH(M411,Rates!$A$5:$A$84,0)),0)</f>
        <v>16</v>
      </c>
      <c r="T411" s="7" t="n">
        <f aca="false">R411*S411</f>
        <v>67795.10976</v>
      </c>
      <c r="U411" s="17" t="n">
        <f aca="false">IF(M411="BRK",R411/2000,IF(OR(M411="SNDC",M411="SNDM",M411="CRS",M411="KHG",M411="EARTH"),R411/100,""))</f>
        <v>2.11859718</v>
      </c>
    </row>
    <row r="412" customFormat="false" ht="22.35" hidden="false" customHeight="false" outlineLevel="0" collapsed="false">
      <c r="A412" s="6" t="s">
        <v>953</v>
      </c>
      <c r="B412" s="6" t="s">
        <v>954</v>
      </c>
      <c r="C412" s="6" t="s">
        <v>973</v>
      </c>
      <c r="D412" s="9" t="s">
        <v>956</v>
      </c>
      <c r="E412" s="9" t="s">
        <v>974</v>
      </c>
      <c r="F412" s="9" t="s">
        <v>963</v>
      </c>
      <c r="G412" s="9"/>
      <c r="H412" s="12" t="n">
        <v>53.211</v>
      </c>
      <c r="I412" s="6" t="s">
        <v>71</v>
      </c>
      <c r="J412" s="6" t="s">
        <v>964</v>
      </c>
      <c r="K412" s="6" t="s">
        <v>954</v>
      </c>
      <c r="L412" s="6"/>
      <c r="M412" s="6" t="s">
        <v>37</v>
      </c>
      <c r="N412" s="13" t="str">
        <f aca="false">IFERROR(INDEX(Rates!$B$5:$B$84,MATCH(M412,Rates!$A$5:$A$84,0)),"")</f>
        <v>Cement OPC, 50 kg bag (Lucky / Bestway / Maple Leaf)</v>
      </c>
      <c r="O412" s="12" t="n">
        <v>9.5475</v>
      </c>
      <c r="P412" s="14" t="str">
        <f aca="false">IFERROR(INDEX(Rates!$C$5:$C$84,MATCH(M412,Rates!$A$5:$A$84,0)),"")</f>
        <v>bag</v>
      </c>
      <c r="Q412" s="15" t="n">
        <f aca="false">IFERROR(INDEX(Rates!$D$5:$D$84,MATCH(M412,Rates!$A$5:$A$84,0)),0)</f>
        <v>0.03</v>
      </c>
      <c r="R412" s="12" t="n">
        <f aca="false">O412*(1+Q412)</f>
        <v>9.833925</v>
      </c>
      <c r="S412" s="16" t="n">
        <f aca="false">IFERROR(INDEX(Rates!$E$5:$E$84,MATCH(M412,Rates!$A$5:$A$84,0)),0)</f>
        <v>1560</v>
      </c>
      <c r="T412" s="7" t="n">
        <f aca="false">R412*S412</f>
        <v>15340.923</v>
      </c>
      <c r="U412" s="17" t="str">
        <f aca="false">IF(M412="BRK",R412/2000,IF(OR(M412="SNDC",M412="SNDM",M412="CRS",M412="KHG",M412="EARTH"),R412/100,""))</f>
        <v/>
      </c>
    </row>
    <row r="413" customFormat="false" ht="15" hidden="false" customHeight="false" outlineLevel="0" collapsed="false">
      <c r="A413" s="6" t="s">
        <v>953</v>
      </c>
      <c r="B413" s="6" t="s">
        <v>954</v>
      </c>
      <c r="C413" s="6" t="s">
        <v>973</v>
      </c>
      <c r="D413" s="9"/>
      <c r="E413" s="9"/>
      <c r="F413" s="9"/>
      <c r="G413" s="9"/>
      <c r="H413" s="12"/>
      <c r="I413" s="6"/>
      <c r="J413" s="6" t="s">
        <v>964</v>
      </c>
      <c r="K413" s="6" t="s">
        <v>954</v>
      </c>
      <c r="L413" s="6"/>
      <c r="M413" s="6" t="s">
        <v>69</v>
      </c>
      <c r="N413" s="13" t="str">
        <f aca="false">IFERROR(INDEX(Rates!$B$5:$B$84,MATCH(M413,Rates!$A$5:$A$84,0)),"")</f>
        <v>Chenab sand (concrete, screed)</v>
      </c>
      <c r="O413" s="12" t="n">
        <v>23.8688</v>
      </c>
      <c r="P413" s="14" t="str">
        <f aca="false">IFERROR(INDEX(Rates!$C$5:$C$84,MATCH(M413,Rates!$A$5:$A$84,0)),"")</f>
        <v>cft</v>
      </c>
      <c r="Q413" s="15" t="n">
        <f aca="false">IFERROR(INDEX(Rates!$D$5:$D$84,MATCH(M413,Rates!$A$5:$A$84,0)),0)</f>
        <v>0.08</v>
      </c>
      <c r="R413" s="12" t="n">
        <f aca="false">O413*(1+Q413)</f>
        <v>25.778304</v>
      </c>
      <c r="S413" s="16" t="n">
        <f aca="false">IFERROR(INDEX(Rates!$E$5:$E$84,MATCH(M413,Rates!$A$5:$A$84,0)),0)</f>
        <v>65</v>
      </c>
      <c r="T413" s="7" t="n">
        <f aca="false">R413*S413</f>
        <v>1675.58976</v>
      </c>
      <c r="U413" s="17" t="n">
        <f aca="false">IF(M413="BRK",R413/2000,IF(OR(M413="SNDC",M413="SNDM",M413="CRS",M413="KHG",M413="EARTH"),R413/100,""))</f>
        <v>0.25778304</v>
      </c>
    </row>
    <row r="414" customFormat="false" ht="15" hidden="false" customHeight="false" outlineLevel="0" collapsed="false">
      <c r="A414" s="6" t="s">
        <v>953</v>
      </c>
      <c r="B414" s="6" t="s">
        <v>954</v>
      </c>
      <c r="C414" s="6" t="s">
        <v>973</v>
      </c>
      <c r="D414" s="9"/>
      <c r="E414" s="9"/>
      <c r="F414" s="9"/>
      <c r="G414" s="9"/>
      <c r="H414" s="12"/>
      <c r="I414" s="6"/>
      <c r="J414" s="6" t="s">
        <v>964</v>
      </c>
      <c r="K414" s="6" t="s">
        <v>954</v>
      </c>
      <c r="L414" s="6"/>
      <c r="M414" s="6" t="s">
        <v>79</v>
      </c>
      <c r="N414" s="13" t="str">
        <f aca="false">IFERROR(INDEX(Rates!$B$5:$B$84,MATCH(M414,Rates!$A$5:$A$84,0)),"")</f>
        <v>Crush ¾" down, Sargodha (bajri)</v>
      </c>
      <c r="O414" s="12" t="n">
        <v>47.7375</v>
      </c>
      <c r="P414" s="14" t="str">
        <f aca="false">IFERROR(INDEX(Rates!$C$5:$C$84,MATCH(M414,Rates!$A$5:$A$84,0)),"")</f>
        <v>cft</v>
      </c>
      <c r="Q414" s="15" t="n">
        <f aca="false">IFERROR(INDEX(Rates!$D$5:$D$84,MATCH(M414,Rates!$A$5:$A$84,0)),0)</f>
        <v>0.05</v>
      </c>
      <c r="R414" s="12" t="n">
        <f aca="false">O414*(1+Q414)</f>
        <v>50.124375</v>
      </c>
      <c r="S414" s="16" t="n">
        <f aca="false">IFERROR(INDEX(Rates!$E$5:$E$84,MATCH(M414,Rates!$A$5:$A$84,0)),0)</f>
        <v>110</v>
      </c>
      <c r="T414" s="7" t="n">
        <f aca="false">R414*S414</f>
        <v>5513.68125</v>
      </c>
      <c r="U414" s="17" t="n">
        <f aca="false">IF(M414="BRK",R414/2000,IF(OR(M414="SNDC",M414="SNDM",M414="CRS",M414="KHG",M414="EARTH"),R414/100,""))</f>
        <v>0.50124375</v>
      </c>
    </row>
    <row r="415" customFormat="false" ht="22.35" hidden="false" customHeight="false" outlineLevel="0" collapsed="false">
      <c r="A415" s="6" t="s">
        <v>953</v>
      </c>
      <c r="B415" s="6" t="s">
        <v>954</v>
      </c>
      <c r="C415" s="6" t="s">
        <v>973</v>
      </c>
      <c r="D415" s="9"/>
      <c r="E415" s="9"/>
      <c r="F415" s="9"/>
      <c r="G415" s="9"/>
      <c r="H415" s="12"/>
      <c r="I415" s="6"/>
      <c r="J415" s="6" t="s">
        <v>964</v>
      </c>
      <c r="K415" s="6" t="s">
        <v>954</v>
      </c>
      <c r="L415" s="6"/>
      <c r="M415" s="6" t="s">
        <v>56</v>
      </c>
      <c r="N415" s="13" t="str">
        <f aca="false">IFERROR(INDEX(Rates!$B$5:$B$84,MATCH(M415,Rates!$A$5:$A$84,0)),"")</f>
        <v>Steel Grade 60 deformed, #3 (10 mm) (Amreli / Mughal / FF Steel)</v>
      </c>
      <c r="O415" s="12" t="n">
        <v>101.6412</v>
      </c>
      <c r="P415" s="14" t="str">
        <f aca="false">IFERROR(INDEX(Rates!$C$5:$C$84,MATCH(M415,Rates!$A$5:$A$84,0)),"")</f>
        <v>kg</v>
      </c>
      <c r="Q415" s="15" t="n">
        <f aca="false">IFERROR(INDEX(Rates!$D$5:$D$84,MATCH(M415,Rates!$A$5:$A$84,0)),0)</f>
        <v>0.04</v>
      </c>
      <c r="R415" s="12" t="n">
        <f aca="false">O415*(1+Q415)</f>
        <v>105.706848</v>
      </c>
      <c r="S415" s="16" t="n">
        <f aca="false">IFERROR(INDEX(Rates!$E$5:$E$84,MATCH(M415,Rates!$A$5:$A$84,0)),0)</f>
        <v>262</v>
      </c>
      <c r="T415" s="7" t="n">
        <f aca="false">R415*S415</f>
        <v>27695.194176</v>
      </c>
      <c r="U415" s="17" t="str">
        <f aca="false">IF(M415="BRK",R415/2000,IF(OR(M415="SNDC",M415="SNDM",M415="CRS",M415="KHG",M415="EARTH"),R415/100,""))</f>
        <v/>
      </c>
    </row>
    <row r="416" customFormat="false" ht="22.35" hidden="false" customHeight="false" outlineLevel="0" collapsed="false">
      <c r="A416" s="6" t="s">
        <v>953</v>
      </c>
      <c r="B416" s="6" t="s">
        <v>954</v>
      </c>
      <c r="C416" s="6" t="s">
        <v>973</v>
      </c>
      <c r="D416" s="9"/>
      <c r="E416" s="9"/>
      <c r="F416" s="9"/>
      <c r="G416" s="9"/>
      <c r="H416" s="12"/>
      <c r="I416" s="6"/>
      <c r="J416" s="6" t="s">
        <v>964</v>
      </c>
      <c r="K416" s="6" t="s">
        <v>954</v>
      </c>
      <c r="L416" s="6"/>
      <c r="M416" s="6" t="s">
        <v>50</v>
      </c>
      <c r="N416" s="13" t="str">
        <f aca="false">IFERROR(INDEX(Rates!$B$5:$B$84,MATCH(M416,Rates!$A$5:$A$84,0)),"")</f>
        <v>Steel Grade 60 deformed, #2 (6 mm) rings</v>
      </c>
      <c r="O416" s="12" t="n">
        <v>26.365</v>
      </c>
      <c r="P416" s="14" t="str">
        <f aca="false">IFERROR(INDEX(Rates!$C$5:$C$84,MATCH(M416,Rates!$A$5:$A$84,0)),"")</f>
        <v>kg</v>
      </c>
      <c r="Q416" s="15" t="n">
        <f aca="false">IFERROR(INDEX(Rates!$D$5:$D$84,MATCH(M416,Rates!$A$5:$A$84,0)),0)</f>
        <v>0.04</v>
      </c>
      <c r="R416" s="12" t="n">
        <f aca="false">O416*(1+Q416)</f>
        <v>27.4196</v>
      </c>
      <c r="S416" s="16" t="n">
        <f aca="false">IFERROR(INDEX(Rates!$E$5:$E$84,MATCH(M416,Rates!$A$5:$A$84,0)),0)</f>
        <v>270</v>
      </c>
      <c r="T416" s="7" t="n">
        <f aca="false">R416*S416</f>
        <v>7403.292</v>
      </c>
      <c r="U416" s="17" t="str">
        <f aca="false">IF(M416="BRK",R416/2000,IF(OR(M416="SNDC",M416="SNDM",M416="CRS",M416="KHG",M416="EARTH"),R416/100,""))</f>
        <v/>
      </c>
    </row>
    <row r="417" customFormat="false" ht="22.35" hidden="false" customHeight="false" outlineLevel="0" collapsed="false">
      <c r="A417" s="6" t="s">
        <v>953</v>
      </c>
      <c r="B417" s="6" t="s">
        <v>954</v>
      </c>
      <c r="C417" s="6" t="s">
        <v>975</v>
      </c>
      <c r="D417" s="9" t="s">
        <v>956</v>
      </c>
      <c r="E417" s="9" t="s">
        <v>976</v>
      </c>
      <c r="F417" s="9" t="s">
        <v>977</v>
      </c>
      <c r="G417" s="9"/>
      <c r="H417" s="12" t="n">
        <v>13.303</v>
      </c>
      <c r="I417" s="6" t="s">
        <v>71</v>
      </c>
      <c r="J417" s="6" t="s">
        <v>978</v>
      </c>
      <c r="K417" s="6"/>
      <c r="L417" s="6"/>
      <c r="M417" s="6" t="s">
        <v>37</v>
      </c>
      <c r="N417" s="13" t="str">
        <f aca="false">IFERROR(INDEX(Rates!$B$5:$B$84,MATCH(M417,Rates!$A$5:$A$84,0)),"")</f>
        <v>Cement OPC, 50 kg bag (Lucky / Bestway / Maple Leaf)</v>
      </c>
      <c r="O417" s="12" t="n">
        <v>2.3869</v>
      </c>
      <c r="P417" s="14" t="str">
        <f aca="false">IFERROR(INDEX(Rates!$C$5:$C$84,MATCH(M417,Rates!$A$5:$A$84,0)),"")</f>
        <v>bag</v>
      </c>
      <c r="Q417" s="15" t="n">
        <f aca="false">IFERROR(INDEX(Rates!$D$5:$D$84,MATCH(M417,Rates!$A$5:$A$84,0)),0)</f>
        <v>0.03</v>
      </c>
      <c r="R417" s="12" t="n">
        <f aca="false">O417*(1+Q417)</f>
        <v>2.458507</v>
      </c>
      <c r="S417" s="16" t="n">
        <f aca="false">IFERROR(INDEX(Rates!$E$5:$E$84,MATCH(M417,Rates!$A$5:$A$84,0)),0)</f>
        <v>1560</v>
      </c>
      <c r="T417" s="7" t="n">
        <f aca="false">R417*S417</f>
        <v>3835.27092</v>
      </c>
      <c r="U417" s="17" t="str">
        <f aca="false">IF(M417="BRK",R417/2000,IF(OR(M417="SNDC",M417="SNDM",M417="CRS",M417="KHG",M417="EARTH"),R417/100,""))</f>
        <v/>
      </c>
    </row>
    <row r="418" customFormat="false" ht="15" hidden="false" customHeight="false" outlineLevel="0" collapsed="false">
      <c r="A418" s="6" t="s">
        <v>953</v>
      </c>
      <c r="B418" s="6" t="s">
        <v>954</v>
      </c>
      <c r="C418" s="6" t="s">
        <v>975</v>
      </c>
      <c r="D418" s="9"/>
      <c r="E418" s="9"/>
      <c r="F418" s="9"/>
      <c r="G418" s="9"/>
      <c r="H418" s="12"/>
      <c r="I418" s="6"/>
      <c r="J418" s="6" t="s">
        <v>978</v>
      </c>
      <c r="K418" s="6"/>
      <c r="L418" s="6"/>
      <c r="M418" s="6" t="s">
        <v>69</v>
      </c>
      <c r="N418" s="13" t="str">
        <f aca="false">IFERROR(INDEX(Rates!$B$5:$B$84,MATCH(M418,Rates!$A$5:$A$84,0)),"")</f>
        <v>Chenab sand (concrete, screed)</v>
      </c>
      <c r="O418" s="12" t="n">
        <v>5.9672</v>
      </c>
      <c r="P418" s="14" t="str">
        <f aca="false">IFERROR(INDEX(Rates!$C$5:$C$84,MATCH(M418,Rates!$A$5:$A$84,0)),"")</f>
        <v>cft</v>
      </c>
      <c r="Q418" s="15" t="n">
        <f aca="false">IFERROR(INDEX(Rates!$D$5:$D$84,MATCH(M418,Rates!$A$5:$A$84,0)),0)</f>
        <v>0.08</v>
      </c>
      <c r="R418" s="12" t="n">
        <f aca="false">O418*(1+Q418)</f>
        <v>6.444576</v>
      </c>
      <c r="S418" s="16" t="n">
        <f aca="false">IFERROR(INDEX(Rates!$E$5:$E$84,MATCH(M418,Rates!$A$5:$A$84,0)),0)</f>
        <v>65</v>
      </c>
      <c r="T418" s="7" t="n">
        <f aca="false">R418*S418</f>
        <v>418.89744</v>
      </c>
      <c r="U418" s="17" t="n">
        <f aca="false">IF(M418="BRK",R418/2000,IF(OR(M418="SNDC",M418="SNDM",M418="CRS",M418="KHG",M418="EARTH"),R418/100,""))</f>
        <v>0.06444576</v>
      </c>
    </row>
    <row r="419" customFormat="false" ht="15" hidden="false" customHeight="false" outlineLevel="0" collapsed="false">
      <c r="A419" s="6" t="s">
        <v>953</v>
      </c>
      <c r="B419" s="6" t="s">
        <v>954</v>
      </c>
      <c r="C419" s="6" t="s">
        <v>975</v>
      </c>
      <c r="D419" s="9"/>
      <c r="E419" s="9"/>
      <c r="F419" s="9"/>
      <c r="G419" s="9"/>
      <c r="H419" s="12"/>
      <c r="I419" s="6"/>
      <c r="J419" s="6" t="s">
        <v>978</v>
      </c>
      <c r="K419" s="6"/>
      <c r="L419" s="6"/>
      <c r="M419" s="6" t="s">
        <v>79</v>
      </c>
      <c r="N419" s="13" t="str">
        <f aca="false">IFERROR(INDEX(Rates!$B$5:$B$84,MATCH(M419,Rates!$A$5:$A$84,0)),"")</f>
        <v>Crush ¾" down, Sargodha (bajri)</v>
      </c>
      <c r="O419" s="12" t="n">
        <v>11.9344</v>
      </c>
      <c r="P419" s="14" t="str">
        <f aca="false">IFERROR(INDEX(Rates!$C$5:$C$84,MATCH(M419,Rates!$A$5:$A$84,0)),"")</f>
        <v>cft</v>
      </c>
      <c r="Q419" s="15" t="n">
        <f aca="false">IFERROR(INDEX(Rates!$D$5:$D$84,MATCH(M419,Rates!$A$5:$A$84,0)),0)</f>
        <v>0.05</v>
      </c>
      <c r="R419" s="12" t="n">
        <f aca="false">O419*(1+Q419)</f>
        <v>12.53112</v>
      </c>
      <c r="S419" s="16" t="n">
        <f aca="false">IFERROR(INDEX(Rates!$E$5:$E$84,MATCH(M419,Rates!$A$5:$A$84,0)),0)</f>
        <v>110</v>
      </c>
      <c r="T419" s="7" t="n">
        <f aca="false">R419*S419</f>
        <v>1378.4232</v>
      </c>
      <c r="U419" s="17" t="n">
        <f aca="false">IF(M419="BRK",R419/2000,IF(OR(M419="SNDC",M419="SNDM",M419="CRS",M419="KHG",M419="EARTH"),R419/100,""))</f>
        <v>0.1253112</v>
      </c>
    </row>
    <row r="420" customFormat="false" ht="22.35" hidden="false" customHeight="false" outlineLevel="0" collapsed="false">
      <c r="A420" s="6" t="s">
        <v>953</v>
      </c>
      <c r="B420" s="6" t="s">
        <v>954</v>
      </c>
      <c r="C420" s="6" t="s">
        <v>975</v>
      </c>
      <c r="D420" s="9"/>
      <c r="E420" s="9"/>
      <c r="F420" s="9"/>
      <c r="G420" s="9"/>
      <c r="H420" s="12"/>
      <c r="I420" s="6"/>
      <c r="J420" s="6" t="s">
        <v>978</v>
      </c>
      <c r="K420" s="6"/>
      <c r="L420" s="6"/>
      <c r="M420" s="6" t="s">
        <v>97</v>
      </c>
      <c r="N420" s="13" t="str">
        <f aca="false">IFERROR(INDEX(Rates!$B$5:$B$84,MATCH(M420,Rates!$A$5:$A$84,0)),"")</f>
        <v>Integral waterproofing compound (powder), 1 kg per bag of cement</v>
      </c>
      <c r="O420" s="12" t="n">
        <v>2.3869</v>
      </c>
      <c r="P420" s="14" t="str">
        <f aca="false">IFERROR(INDEX(Rates!$C$5:$C$84,MATCH(M420,Rates!$A$5:$A$84,0)),"")</f>
        <v>kg</v>
      </c>
      <c r="Q420" s="15" t="n">
        <f aca="false">IFERROR(INDEX(Rates!$D$5:$D$84,MATCH(M420,Rates!$A$5:$A$84,0)),0)</f>
        <v>0</v>
      </c>
      <c r="R420" s="12" t="n">
        <f aca="false">O420*(1+Q420)</f>
        <v>2.3869</v>
      </c>
      <c r="S420" s="16" t="n">
        <f aca="false">IFERROR(INDEX(Rates!$E$5:$E$84,MATCH(M420,Rates!$A$5:$A$84,0)),0)</f>
        <v>350</v>
      </c>
      <c r="T420" s="7" t="n">
        <f aca="false">R420*S420</f>
        <v>835.415</v>
      </c>
      <c r="U420" s="17" t="str">
        <f aca="false">IF(M420="BRK",R420/2000,IF(OR(M420="SNDC",M420="SNDM",M420="CRS",M420="KHG",M420="EARTH"),R420/100,""))</f>
        <v/>
      </c>
    </row>
    <row r="421" customFormat="false" ht="15" hidden="false" customHeight="false" outlineLevel="0" collapsed="false">
      <c r="A421" s="6" t="s">
        <v>953</v>
      </c>
      <c r="B421" s="6" t="s">
        <v>954</v>
      </c>
      <c r="C421" s="6" t="s">
        <v>975</v>
      </c>
      <c r="D421" s="9"/>
      <c r="E421" s="9"/>
      <c r="F421" s="9"/>
      <c r="G421" s="9"/>
      <c r="H421" s="12"/>
      <c r="I421" s="6"/>
      <c r="J421" s="6" t="s">
        <v>978</v>
      </c>
      <c r="K421" s="6"/>
      <c r="L421" s="6"/>
      <c r="M421" s="6" t="s">
        <v>93</v>
      </c>
      <c r="N421" s="13" t="str">
        <f aca="false">IFERROR(INDEX(Rates!$B$5:$B$84,MATCH(M421,Rates!$A$5:$A$84,0)),"")</f>
        <v>Hot bitumen 60/70 (drum)</v>
      </c>
      <c r="O421" s="12" t="n">
        <v>42.5685</v>
      </c>
      <c r="P421" s="14" t="str">
        <f aca="false">IFERROR(INDEX(Rates!$C$5:$C$84,MATCH(M421,Rates!$A$5:$A$84,0)),"")</f>
        <v>kg</v>
      </c>
      <c r="Q421" s="15" t="n">
        <f aca="false">IFERROR(INDEX(Rates!$D$5:$D$84,MATCH(M421,Rates!$A$5:$A$84,0)),0)</f>
        <v>0.05</v>
      </c>
      <c r="R421" s="12" t="n">
        <f aca="false">O421*(1+Q421)</f>
        <v>44.696925</v>
      </c>
      <c r="S421" s="16" t="n">
        <f aca="false">IFERROR(INDEX(Rates!$E$5:$E$84,MATCH(M421,Rates!$A$5:$A$84,0)),0)</f>
        <v>280</v>
      </c>
      <c r="T421" s="7" t="n">
        <f aca="false">R421*S421</f>
        <v>12515.139</v>
      </c>
      <c r="U421" s="17" t="str">
        <f aca="false">IF(M421="BRK",R421/2000,IF(OR(M421="SNDC",M421="SNDM",M421="CRS",M421="KHG",M421="EARTH"),R421/100,""))</f>
        <v/>
      </c>
    </row>
    <row r="422" customFormat="false" ht="64.15" hidden="false" customHeight="false" outlineLevel="0" collapsed="false">
      <c r="A422" s="6" t="s">
        <v>953</v>
      </c>
      <c r="B422" s="6" t="s">
        <v>954</v>
      </c>
      <c r="C422" s="6" t="s">
        <v>979</v>
      </c>
      <c r="D422" s="9" t="s">
        <v>956</v>
      </c>
      <c r="E422" s="9" t="s">
        <v>980</v>
      </c>
      <c r="F422" s="9" t="s">
        <v>981</v>
      </c>
      <c r="G422" s="9" t="s">
        <v>982</v>
      </c>
      <c r="H422" s="12" t="n">
        <v>484.847</v>
      </c>
      <c r="I422" s="6" t="s">
        <v>71</v>
      </c>
      <c r="J422" s="6" t="s">
        <v>983</v>
      </c>
      <c r="K422" s="6"/>
      <c r="L422" s="6"/>
      <c r="M422" s="6" t="s">
        <v>37</v>
      </c>
      <c r="N422" s="13" t="str">
        <f aca="false">IFERROR(INDEX(Rates!$B$5:$B$84,MATCH(M422,Rates!$A$5:$A$84,0)),"")</f>
        <v>Cement OPC, 50 kg bag (Lucky / Bestway / Maple Leaf)</v>
      </c>
      <c r="O422" s="12" t="n">
        <v>22.109</v>
      </c>
      <c r="P422" s="14" t="str">
        <f aca="false">IFERROR(INDEX(Rates!$C$5:$C$84,MATCH(M422,Rates!$A$5:$A$84,0)),"")</f>
        <v>bag</v>
      </c>
      <c r="Q422" s="15" t="n">
        <f aca="false">IFERROR(INDEX(Rates!$D$5:$D$84,MATCH(M422,Rates!$A$5:$A$84,0)),0)</f>
        <v>0.03</v>
      </c>
      <c r="R422" s="12" t="n">
        <f aca="false">O422*(1+Q422)</f>
        <v>22.77227</v>
      </c>
      <c r="S422" s="16" t="n">
        <f aca="false">IFERROR(INDEX(Rates!$E$5:$E$84,MATCH(M422,Rates!$A$5:$A$84,0)),0)</f>
        <v>1560</v>
      </c>
      <c r="T422" s="7" t="n">
        <f aca="false">R422*S422</f>
        <v>35524.7412</v>
      </c>
      <c r="U422" s="17" t="str">
        <f aca="false">IF(M422="BRK",R422/2000,IF(OR(M422="SNDC",M422="SNDM",M422="CRS",M422="KHG",M422="EARTH"),R422/100,""))</f>
        <v/>
      </c>
    </row>
    <row r="423" customFormat="false" ht="15" hidden="false" customHeight="false" outlineLevel="0" collapsed="false">
      <c r="A423" s="6" t="s">
        <v>953</v>
      </c>
      <c r="B423" s="6" t="s">
        <v>954</v>
      </c>
      <c r="C423" s="6" t="s">
        <v>979</v>
      </c>
      <c r="D423" s="9"/>
      <c r="E423" s="9"/>
      <c r="F423" s="9"/>
      <c r="G423" s="9"/>
      <c r="H423" s="12"/>
      <c r="I423" s="6"/>
      <c r="J423" s="6" t="s">
        <v>983</v>
      </c>
      <c r="K423" s="6"/>
      <c r="L423" s="6"/>
      <c r="M423" s="6" t="s">
        <v>76</v>
      </c>
      <c r="N423" s="13" t="str">
        <f aca="false">IFERROR(INDEX(Rates!$B$5:$B$84,MATCH(M423,Rates!$A$5:$A$84,0)),"")</f>
        <v>Ravi sand (mortar, plaster, blinding, fill)</v>
      </c>
      <c r="O423" s="12" t="n">
        <v>165.8176</v>
      </c>
      <c r="P423" s="14" t="str">
        <f aca="false">IFERROR(INDEX(Rates!$C$5:$C$84,MATCH(M423,Rates!$A$5:$A$84,0)),"")</f>
        <v>cft</v>
      </c>
      <c r="Q423" s="15" t="n">
        <f aca="false">IFERROR(INDEX(Rates!$D$5:$D$84,MATCH(M423,Rates!$A$5:$A$84,0)),0)</f>
        <v>0.08</v>
      </c>
      <c r="R423" s="12" t="n">
        <f aca="false">O423*(1+Q423)</f>
        <v>179.083008</v>
      </c>
      <c r="S423" s="16" t="n">
        <f aca="false">IFERROR(INDEX(Rates!$E$5:$E$84,MATCH(M423,Rates!$A$5:$A$84,0)),0)</f>
        <v>40</v>
      </c>
      <c r="T423" s="7" t="n">
        <f aca="false">R423*S423</f>
        <v>7163.32032</v>
      </c>
      <c r="U423" s="17" t="n">
        <f aca="false">IF(M423="BRK",R423/2000,IF(OR(M423="SNDC",M423="SNDM",M423="CRS",M423="KHG",M423="EARTH"),R423/100,""))</f>
        <v>1.79083008</v>
      </c>
    </row>
    <row r="424" customFormat="false" ht="15" hidden="false" customHeight="false" outlineLevel="0" collapsed="false">
      <c r="A424" s="6" t="s">
        <v>953</v>
      </c>
      <c r="B424" s="6" t="s">
        <v>954</v>
      </c>
      <c r="C424" s="6" t="s">
        <v>979</v>
      </c>
      <c r="D424" s="9"/>
      <c r="E424" s="9"/>
      <c r="F424" s="9"/>
      <c r="G424" s="9"/>
      <c r="H424" s="12"/>
      <c r="I424" s="6"/>
      <c r="J424" s="6" t="s">
        <v>983</v>
      </c>
      <c r="K424" s="6"/>
      <c r="L424" s="6"/>
      <c r="M424" s="6" t="s">
        <v>43</v>
      </c>
      <c r="N424" s="13" t="str">
        <f aca="false">IFERROR(INDEX(Rates!$B$5:$B$84,MATCH(M424,Rates!$A$5:$A$84,0)),"")</f>
        <v>Bricks, first class (awwal), 9" x 4½" x 3"</v>
      </c>
      <c r="O424" s="12" t="n">
        <v>6545.4328</v>
      </c>
      <c r="P424" s="14" t="str">
        <f aca="false">IFERROR(INDEX(Rates!$C$5:$C$84,MATCH(M424,Rates!$A$5:$A$84,0)),"")</f>
        <v>nos</v>
      </c>
      <c r="Q424" s="15" t="n">
        <f aca="false">IFERROR(INDEX(Rates!$D$5:$D$84,MATCH(M424,Rates!$A$5:$A$84,0)),0)</f>
        <v>0.05</v>
      </c>
      <c r="R424" s="12" t="n">
        <f aca="false">O424*(1+Q424)</f>
        <v>6872.70444</v>
      </c>
      <c r="S424" s="16" t="n">
        <f aca="false">IFERROR(INDEX(Rates!$E$5:$E$84,MATCH(M424,Rates!$A$5:$A$84,0)),0)</f>
        <v>16</v>
      </c>
      <c r="T424" s="7" t="n">
        <f aca="false">R424*S424</f>
        <v>109963.27104</v>
      </c>
      <c r="U424" s="17" t="n">
        <f aca="false">IF(M424="BRK",R424/2000,IF(OR(M424="SNDC",M424="SNDM",M424="CRS",M424="KHG",M424="EARTH"),R424/100,""))</f>
        <v>3.43635222</v>
      </c>
    </row>
    <row r="425" customFormat="false" ht="22.35" hidden="false" customHeight="false" outlineLevel="0" collapsed="false">
      <c r="A425" s="6" t="s">
        <v>953</v>
      </c>
      <c r="B425" s="6" t="s">
        <v>954</v>
      </c>
      <c r="C425" s="6" t="s">
        <v>984</v>
      </c>
      <c r="D425" s="9" t="s">
        <v>985</v>
      </c>
      <c r="E425" s="9" t="s">
        <v>986</v>
      </c>
      <c r="F425" s="9"/>
      <c r="G425" s="9" t="s">
        <v>987</v>
      </c>
      <c r="H425" s="12" t="n">
        <v>111.797</v>
      </c>
      <c r="I425" s="6" t="s">
        <v>71</v>
      </c>
      <c r="J425" s="6" t="s">
        <v>988</v>
      </c>
      <c r="K425" s="6"/>
      <c r="L425" s="6"/>
      <c r="M425" s="6" t="s">
        <v>37</v>
      </c>
      <c r="N425" s="13" t="str">
        <f aca="false">IFERROR(INDEX(Rates!$B$5:$B$84,MATCH(M425,Rates!$A$5:$A$84,0)),"")</f>
        <v>Cement OPC, 50 kg bag (Lucky / Bestway / Maple Leaf)</v>
      </c>
      <c r="O425" s="12" t="n">
        <v>7.1371</v>
      </c>
      <c r="P425" s="14" t="str">
        <f aca="false">IFERROR(INDEX(Rates!$C$5:$C$84,MATCH(M425,Rates!$A$5:$A$84,0)),"")</f>
        <v>bag</v>
      </c>
      <c r="Q425" s="15" t="n">
        <f aca="false">IFERROR(INDEX(Rates!$D$5:$D$84,MATCH(M425,Rates!$A$5:$A$84,0)),0)</f>
        <v>0.03</v>
      </c>
      <c r="R425" s="12" t="n">
        <f aca="false">O425*(1+Q425)</f>
        <v>7.351213</v>
      </c>
      <c r="S425" s="16" t="n">
        <f aca="false">IFERROR(INDEX(Rates!$E$5:$E$84,MATCH(M425,Rates!$A$5:$A$84,0)),0)</f>
        <v>1560</v>
      </c>
      <c r="T425" s="7" t="n">
        <f aca="false">R425*S425</f>
        <v>11467.89228</v>
      </c>
      <c r="U425" s="17" t="str">
        <f aca="false">IF(M425="BRK",R425/2000,IF(OR(M425="SNDC",M425="SNDM",M425="CRS",M425="KHG",M425="EARTH"),R425/100,""))</f>
        <v/>
      </c>
    </row>
    <row r="426" customFormat="false" ht="15" hidden="false" customHeight="false" outlineLevel="0" collapsed="false">
      <c r="A426" s="6" t="s">
        <v>953</v>
      </c>
      <c r="B426" s="6" t="s">
        <v>954</v>
      </c>
      <c r="C426" s="6" t="s">
        <v>984</v>
      </c>
      <c r="D426" s="9"/>
      <c r="E426" s="9"/>
      <c r="F426" s="9"/>
      <c r="G426" s="9"/>
      <c r="H426" s="12"/>
      <c r="I426" s="6"/>
      <c r="J426" s="6" t="s">
        <v>988</v>
      </c>
      <c r="K426" s="6"/>
      <c r="L426" s="6"/>
      <c r="M426" s="6" t="s">
        <v>76</v>
      </c>
      <c r="N426" s="13" t="str">
        <f aca="false">IFERROR(INDEX(Rates!$B$5:$B$84,MATCH(M426,Rates!$A$5:$A$84,0)),"")</f>
        <v>Ravi sand (mortar, plaster, blinding, fill)</v>
      </c>
      <c r="O426" s="12" t="n">
        <v>35.6856</v>
      </c>
      <c r="P426" s="14" t="str">
        <f aca="false">IFERROR(INDEX(Rates!$C$5:$C$84,MATCH(M426,Rates!$A$5:$A$84,0)),"")</f>
        <v>cft</v>
      </c>
      <c r="Q426" s="15" t="n">
        <f aca="false">IFERROR(INDEX(Rates!$D$5:$D$84,MATCH(M426,Rates!$A$5:$A$84,0)),0)</f>
        <v>0.08</v>
      </c>
      <c r="R426" s="12" t="n">
        <f aca="false">O426*(1+Q426)</f>
        <v>38.540448</v>
      </c>
      <c r="S426" s="16" t="n">
        <f aca="false">IFERROR(INDEX(Rates!$E$5:$E$84,MATCH(M426,Rates!$A$5:$A$84,0)),0)</f>
        <v>40</v>
      </c>
      <c r="T426" s="7" t="n">
        <f aca="false">R426*S426</f>
        <v>1541.61792</v>
      </c>
      <c r="U426" s="17" t="n">
        <f aca="false">IF(M426="BRK",R426/2000,IF(OR(M426="SNDC",M426="SNDM",M426="CRS",M426="KHG",M426="EARTH"),R426/100,""))</f>
        <v>0.38540448</v>
      </c>
    </row>
    <row r="427" customFormat="false" ht="15" hidden="false" customHeight="false" outlineLevel="0" collapsed="false">
      <c r="A427" s="6" t="s">
        <v>953</v>
      </c>
      <c r="B427" s="6" t="s">
        <v>954</v>
      </c>
      <c r="C427" s="6" t="s">
        <v>984</v>
      </c>
      <c r="D427" s="9"/>
      <c r="E427" s="9"/>
      <c r="F427" s="9"/>
      <c r="G427" s="9"/>
      <c r="H427" s="12"/>
      <c r="I427" s="6"/>
      <c r="J427" s="6" t="s">
        <v>988</v>
      </c>
      <c r="K427" s="6"/>
      <c r="L427" s="6"/>
      <c r="M427" s="6" t="s">
        <v>43</v>
      </c>
      <c r="N427" s="13" t="str">
        <f aca="false">IFERROR(INDEX(Rates!$B$5:$B$84,MATCH(M427,Rates!$A$5:$A$84,0)),"")</f>
        <v>Bricks, first class (awwal), 9" x 4½" x 3"</v>
      </c>
      <c r="O427" s="12" t="n">
        <v>1509.2578</v>
      </c>
      <c r="P427" s="14" t="str">
        <f aca="false">IFERROR(INDEX(Rates!$C$5:$C$84,MATCH(M427,Rates!$A$5:$A$84,0)),"")</f>
        <v>nos</v>
      </c>
      <c r="Q427" s="15" t="n">
        <f aca="false">IFERROR(INDEX(Rates!$D$5:$D$84,MATCH(M427,Rates!$A$5:$A$84,0)),0)</f>
        <v>0.05</v>
      </c>
      <c r="R427" s="12" t="n">
        <f aca="false">O427*(1+Q427)</f>
        <v>1584.72069</v>
      </c>
      <c r="S427" s="16" t="n">
        <f aca="false">IFERROR(INDEX(Rates!$E$5:$E$84,MATCH(M427,Rates!$A$5:$A$84,0)),0)</f>
        <v>16</v>
      </c>
      <c r="T427" s="7" t="n">
        <f aca="false">R427*S427</f>
        <v>25355.53104</v>
      </c>
      <c r="U427" s="17" t="n">
        <f aca="false">IF(M427="BRK",R427/2000,IF(OR(M427="SNDC",M427="SNDM",M427="CRS",M427="KHG",M427="EARTH"),R427/100,""))</f>
        <v>0.792360345</v>
      </c>
    </row>
    <row r="428" customFormat="false" ht="22.35" hidden="false" customHeight="false" outlineLevel="0" collapsed="false">
      <c r="A428" s="6" t="s">
        <v>953</v>
      </c>
      <c r="B428" s="6" t="s">
        <v>954</v>
      </c>
      <c r="C428" s="6" t="s">
        <v>989</v>
      </c>
      <c r="D428" s="9" t="s">
        <v>956</v>
      </c>
      <c r="E428" s="9" t="s">
        <v>990</v>
      </c>
      <c r="F428" s="9" t="s">
        <v>991</v>
      </c>
      <c r="G428" s="9" t="s">
        <v>992</v>
      </c>
      <c r="H428" s="12" t="n">
        <v>36.13</v>
      </c>
      <c r="I428" s="6" t="s">
        <v>71</v>
      </c>
      <c r="J428" s="6" t="s">
        <v>964</v>
      </c>
      <c r="K428" s="6" t="s">
        <v>954</v>
      </c>
      <c r="L428" s="6"/>
      <c r="M428" s="6" t="s">
        <v>37</v>
      </c>
      <c r="N428" s="13" t="str">
        <f aca="false">IFERROR(INDEX(Rates!$B$5:$B$84,MATCH(M428,Rates!$A$5:$A$84,0)),"")</f>
        <v>Cement OPC, 50 kg bag (Lucky / Bestway / Maple Leaf)</v>
      </c>
      <c r="O428" s="12" t="n">
        <v>6.4828</v>
      </c>
      <c r="P428" s="14" t="str">
        <f aca="false">IFERROR(INDEX(Rates!$C$5:$C$84,MATCH(M428,Rates!$A$5:$A$84,0)),"")</f>
        <v>bag</v>
      </c>
      <c r="Q428" s="15" t="n">
        <f aca="false">IFERROR(INDEX(Rates!$D$5:$D$84,MATCH(M428,Rates!$A$5:$A$84,0)),0)</f>
        <v>0.03</v>
      </c>
      <c r="R428" s="12" t="n">
        <f aca="false">O428*(1+Q428)</f>
        <v>6.677284</v>
      </c>
      <c r="S428" s="16" t="n">
        <f aca="false">IFERROR(INDEX(Rates!$E$5:$E$84,MATCH(M428,Rates!$A$5:$A$84,0)),0)</f>
        <v>1560</v>
      </c>
      <c r="T428" s="7" t="n">
        <f aca="false">R428*S428</f>
        <v>10416.56304</v>
      </c>
      <c r="U428" s="17" t="str">
        <f aca="false">IF(M428="BRK",R428/2000,IF(OR(M428="SNDC",M428="SNDM",M428="CRS",M428="KHG",M428="EARTH"),R428/100,""))</f>
        <v/>
      </c>
    </row>
    <row r="429" customFormat="false" ht="15" hidden="false" customHeight="false" outlineLevel="0" collapsed="false">
      <c r="A429" s="6" t="s">
        <v>953</v>
      </c>
      <c r="B429" s="6" t="s">
        <v>954</v>
      </c>
      <c r="C429" s="6" t="s">
        <v>989</v>
      </c>
      <c r="D429" s="9"/>
      <c r="E429" s="9"/>
      <c r="F429" s="9"/>
      <c r="G429" s="9"/>
      <c r="H429" s="12"/>
      <c r="I429" s="6"/>
      <c r="J429" s="6" t="s">
        <v>964</v>
      </c>
      <c r="K429" s="6" t="s">
        <v>954</v>
      </c>
      <c r="L429" s="6"/>
      <c r="M429" s="6" t="s">
        <v>69</v>
      </c>
      <c r="N429" s="13" t="str">
        <f aca="false">IFERROR(INDEX(Rates!$B$5:$B$84,MATCH(M429,Rates!$A$5:$A$84,0)),"")</f>
        <v>Chenab sand (concrete, screed)</v>
      </c>
      <c r="O429" s="12" t="n">
        <v>16.2069</v>
      </c>
      <c r="P429" s="14" t="str">
        <f aca="false">IFERROR(INDEX(Rates!$C$5:$C$84,MATCH(M429,Rates!$A$5:$A$84,0)),"")</f>
        <v>cft</v>
      </c>
      <c r="Q429" s="15" t="n">
        <f aca="false">IFERROR(INDEX(Rates!$D$5:$D$84,MATCH(M429,Rates!$A$5:$A$84,0)),0)</f>
        <v>0.08</v>
      </c>
      <c r="R429" s="12" t="n">
        <f aca="false">O429*(1+Q429)</f>
        <v>17.503452</v>
      </c>
      <c r="S429" s="16" t="n">
        <f aca="false">IFERROR(INDEX(Rates!$E$5:$E$84,MATCH(M429,Rates!$A$5:$A$84,0)),0)</f>
        <v>65</v>
      </c>
      <c r="T429" s="7" t="n">
        <f aca="false">R429*S429</f>
        <v>1137.72438</v>
      </c>
      <c r="U429" s="17" t="n">
        <f aca="false">IF(M429="BRK",R429/2000,IF(OR(M429="SNDC",M429="SNDM",M429="CRS",M429="KHG",M429="EARTH"),R429/100,""))</f>
        <v>0.17503452</v>
      </c>
    </row>
    <row r="430" customFormat="false" ht="15" hidden="false" customHeight="false" outlineLevel="0" collapsed="false">
      <c r="A430" s="6" t="s">
        <v>953</v>
      </c>
      <c r="B430" s="6" t="s">
        <v>954</v>
      </c>
      <c r="C430" s="6" t="s">
        <v>989</v>
      </c>
      <c r="D430" s="9"/>
      <c r="E430" s="9"/>
      <c r="F430" s="9"/>
      <c r="G430" s="9"/>
      <c r="H430" s="12"/>
      <c r="I430" s="6"/>
      <c r="J430" s="6" t="s">
        <v>964</v>
      </c>
      <c r="K430" s="6" t="s">
        <v>954</v>
      </c>
      <c r="L430" s="6"/>
      <c r="M430" s="6" t="s">
        <v>79</v>
      </c>
      <c r="N430" s="13" t="str">
        <f aca="false">IFERROR(INDEX(Rates!$B$5:$B$84,MATCH(M430,Rates!$A$5:$A$84,0)),"")</f>
        <v>Crush ¾" down, Sargodha (bajri)</v>
      </c>
      <c r="O430" s="12" t="n">
        <v>32.4138</v>
      </c>
      <c r="P430" s="14" t="str">
        <f aca="false">IFERROR(INDEX(Rates!$C$5:$C$84,MATCH(M430,Rates!$A$5:$A$84,0)),"")</f>
        <v>cft</v>
      </c>
      <c r="Q430" s="15" t="n">
        <f aca="false">IFERROR(INDEX(Rates!$D$5:$D$84,MATCH(M430,Rates!$A$5:$A$84,0)),0)</f>
        <v>0.05</v>
      </c>
      <c r="R430" s="12" t="n">
        <f aca="false">O430*(1+Q430)</f>
        <v>34.03449</v>
      </c>
      <c r="S430" s="16" t="n">
        <f aca="false">IFERROR(INDEX(Rates!$E$5:$E$84,MATCH(M430,Rates!$A$5:$A$84,0)),0)</f>
        <v>110</v>
      </c>
      <c r="T430" s="7" t="n">
        <f aca="false">R430*S430</f>
        <v>3743.7939</v>
      </c>
      <c r="U430" s="17" t="n">
        <f aca="false">IF(M430="BRK",R430/2000,IF(OR(M430="SNDC",M430="SNDM",M430="CRS",M430="KHG",M430="EARTH"),R430/100,""))</f>
        <v>0.3403449</v>
      </c>
    </row>
    <row r="431" customFormat="false" ht="22.35" hidden="false" customHeight="false" outlineLevel="0" collapsed="false">
      <c r="A431" s="6" t="s">
        <v>953</v>
      </c>
      <c r="B431" s="6" t="s">
        <v>954</v>
      </c>
      <c r="C431" s="6" t="s">
        <v>989</v>
      </c>
      <c r="D431" s="9"/>
      <c r="E431" s="9"/>
      <c r="F431" s="9"/>
      <c r="G431" s="9"/>
      <c r="H431" s="12"/>
      <c r="I431" s="6"/>
      <c r="J431" s="6" t="s">
        <v>964</v>
      </c>
      <c r="K431" s="6" t="s">
        <v>954</v>
      </c>
      <c r="L431" s="6"/>
      <c r="M431" s="6" t="s">
        <v>56</v>
      </c>
      <c r="N431" s="13" t="str">
        <f aca="false">IFERROR(INDEX(Rates!$B$5:$B$84,MATCH(M431,Rates!$A$5:$A$84,0)),"")</f>
        <v>Steel Grade 60 deformed, #3 (10 mm) (Amreli / Mughal / FF Steel)</v>
      </c>
      <c r="O431" s="12" t="n">
        <v>43.7023</v>
      </c>
      <c r="P431" s="14" t="str">
        <f aca="false">IFERROR(INDEX(Rates!$C$5:$C$84,MATCH(M431,Rates!$A$5:$A$84,0)),"")</f>
        <v>kg</v>
      </c>
      <c r="Q431" s="15" t="n">
        <f aca="false">IFERROR(INDEX(Rates!$D$5:$D$84,MATCH(M431,Rates!$A$5:$A$84,0)),0)</f>
        <v>0.04</v>
      </c>
      <c r="R431" s="12" t="n">
        <f aca="false">O431*(1+Q431)</f>
        <v>45.450392</v>
      </c>
      <c r="S431" s="16" t="n">
        <f aca="false">IFERROR(INDEX(Rates!$E$5:$E$84,MATCH(M431,Rates!$A$5:$A$84,0)),0)</f>
        <v>262</v>
      </c>
      <c r="T431" s="7" t="n">
        <f aca="false">R431*S431</f>
        <v>11908.002704</v>
      </c>
      <c r="U431" s="17" t="str">
        <f aca="false">IF(M431="BRK",R431/2000,IF(OR(M431="SNDC",M431="SNDM",M431="CRS",M431="KHG",M431="EARTH"),R431/100,""))</f>
        <v/>
      </c>
    </row>
    <row r="432" customFormat="false" ht="32.8" hidden="false" customHeight="false" outlineLevel="0" collapsed="false">
      <c r="A432" s="6" t="s">
        <v>953</v>
      </c>
      <c r="B432" s="6" t="s">
        <v>954</v>
      </c>
      <c r="C432" s="6" t="s">
        <v>993</v>
      </c>
      <c r="D432" s="9" t="s">
        <v>956</v>
      </c>
      <c r="E432" s="9" t="s">
        <v>994</v>
      </c>
      <c r="F432" s="9" t="s">
        <v>995</v>
      </c>
      <c r="G432" s="9"/>
      <c r="H432" s="12" t="n">
        <v>2089.632</v>
      </c>
      <c r="I432" s="6" t="s">
        <v>394</v>
      </c>
      <c r="J432" s="6" t="s">
        <v>708</v>
      </c>
      <c r="K432" s="6"/>
      <c r="L432" s="6"/>
      <c r="M432" s="6" t="s">
        <v>37</v>
      </c>
      <c r="N432" s="13" t="str">
        <f aca="false">IFERROR(INDEX(Rates!$B$5:$B$84,MATCH(M432,Rates!$A$5:$A$84,0)),"")</f>
        <v>Cement OPC, 50 kg bag (Lucky / Bestway / Maple Leaf)</v>
      </c>
      <c r="O432" s="12" t="n">
        <v>34.7401</v>
      </c>
      <c r="P432" s="14" t="str">
        <f aca="false">IFERROR(INDEX(Rates!$C$5:$C$84,MATCH(M432,Rates!$A$5:$A$84,0)),"")</f>
        <v>bag</v>
      </c>
      <c r="Q432" s="15" t="n">
        <f aca="false">IFERROR(INDEX(Rates!$D$5:$D$84,MATCH(M432,Rates!$A$5:$A$84,0)),0)</f>
        <v>0.03</v>
      </c>
      <c r="R432" s="12" t="n">
        <f aca="false">O432*(1+Q432)</f>
        <v>35.782303</v>
      </c>
      <c r="S432" s="16" t="n">
        <f aca="false">IFERROR(INDEX(Rates!$E$5:$E$84,MATCH(M432,Rates!$A$5:$A$84,0)),0)</f>
        <v>1560</v>
      </c>
      <c r="T432" s="7" t="n">
        <f aca="false">R432*S432</f>
        <v>55820.39268</v>
      </c>
      <c r="U432" s="17" t="str">
        <f aca="false">IF(M432="BRK",R432/2000,IF(OR(M432="SNDC",M432="SNDM",M432="CRS",M432="KHG",M432="EARTH"),R432/100,""))</f>
        <v/>
      </c>
    </row>
    <row r="433" customFormat="false" ht="15" hidden="false" customHeight="false" outlineLevel="0" collapsed="false">
      <c r="A433" s="6" t="s">
        <v>953</v>
      </c>
      <c r="B433" s="6" t="s">
        <v>954</v>
      </c>
      <c r="C433" s="6" t="s">
        <v>993</v>
      </c>
      <c r="D433" s="9"/>
      <c r="E433" s="9"/>
      <c r="F433" s="9"/>
      <c r="G433" s="9"/>
      <c r="H433" s="12"/>
      <c r="I433" s="6"/>
      <c r="J433" s="6" t="s">
        <v>708</v>
      </c>
      <c r="K433" s="6"/>
      <c r="L433" s="6"/>
      <c r="M433" s="6" t="s">
        <v>76</v>
      </c>
      <c r="N433" s="13" t="str">
        <f aca="false">IFERROR(INDEX(Rates!$B$5:$B$84,MATCH(M433,Rates!$A$5:$A$84,0)),"")</f>
        <v>Ravi sand (mortar, plaster, blinding, fill)</v>
      </c>
      <c r="O433" s="12" t="n">
        <v>173.7007</v>
      </c>
      <c r="P433" s="14" t="str">
        <f aca="false">IFERROR(INDEX(Rates!$C$5:$C$84,MATCH(M433,Rates!$A$5:$A$84,0)),"")</f>
        <v>cft</v>
      </c>
      <c r="Q433" s="15" t="n">
        <f aca="false">IFERROR(INDEX(Rates!$D$5:$D$84,MATCH(M433,Rates!$A$5:$A$84,0)),0)</f>
        <v>0.08</v>
      </c>
      <c r="R433" s="12" t="n">
        <f aca="false">O433*(1+Q433)</f>
        <v>187.596756</v>
      </c>
      <c r="S433" s="16" t="n">
        <f aca="false">IFERROR(INDEX(Rates!$E$5:$E$84,MATCH(M433,Rates!$A$5:$A$84,0)),0)</f>
        <v>40</v>
      </c>
      <c r="T433" s="7" t="n">
        <f aca="false">R433*S433</f>
        <v>7503.87024</v>
      </c>
      <c r="U433" s="17" t="n">
        <f aca="false">IF(M433="BRK",R433/2000,IF(OR(M433="SNDC",M433="SNDM",M433="CRS",M433="KHG",M433="EARTH"),R433/100,""))</f>
        <v>1.87596756</v>
      </c>
    </row>
    <row r="434" customFormat="false" ht="15" hidden="false" customHeight="false" outlineLevel="0" collapsed="false">
      <c r="A434" s="6" t="s">
        <v>953</v>
      </c>
      <c r="B434" s="6" t="s">
        <v>954</v>
      </c>
      <c r="C434" s="6" t="s">
        <v>996</v>
      </c>
      <c r="D434" s="9" t="s">
        <v>956</v>
      </c>
      <c r="E434" s="9" t="s">
        <v>997</v>
      </c>
      <c r="F434" s="9"/>
      <c r="G434" s="9" t="s">
        <v>998</v>
      </c>
      <c r="H434" s="12" t="n">
        <v>345.341</v>
      </c>
      <c r="I434" s="6" t="s">
        <v>71</v>
      </c>
      <c r="J434" s="6" t="s">
        <v>964</v>
      </c>
      <c r="K434" s="6"/>
      <c r="L434" s="6" t="s">
        <v>403</v>
      </c>
      <c r="M434" s="6"/>
      <c r="N434" s="13"/>
      <c r="O434" s="12"/>
      <c r="P434" s="14"/>
      <c r="Q434" s="15"/>
      <c r="R434" s="12"/>
      <c r="S434" s="16"/>
      <c r="T434" s="7" t="n">
        <v>0</v>
      </c>
      <c r="U434" s="17"/>
    </row>
    <row r="435" customFormat="false" ht="22.35" hidden="false" customHeight="false" outlineLevel="0" collapsed="false">
      <c r="A435" s="6" t="s">
        <v>999</v>
      </c>
      <c r="B435" s="6" t="s">
        <v>1000</v>
      </c>
      <c r="C435" s="6" t="s">
        <v>1001</v>
      </c>
      <c r="D435" s="9" t="s">
        <v>1002</v>
      </c>
      <c r="E435" s="9" t="s">
        <v>1003</v>
      </c>
      <c r="F435" s="9" t="s">
        <v>1004</v>
      </c>
      <c r="G435" s="9" t="s">
        <v>1005</v>
      </c>
      <c r="H435" s="12" t="n">
        <v>125.461</v>
      </c>
      <c r="I435" s="6" t="s">
        <v>71</v>
      </c>
      <c r="J435" s="6" t="s">
        <v>309</v>
      </c>
      <c r="K435" s="6"/>
      <c r="L435" s="6" t="s">
        <v>403</v>
      </c>
      <c r="M435" s="6"/>
      <c r="N435" s="13"/>
      <c r="O435" s="12"/>
      <c r="P435" s="14"/>
      <c r="Q435" s="15"/>
      <c r="R435" s="12"/>
      <c r="S435" s="16"/>
      <c r="T435" s="7" t="n">
        <v>0</v>
      </c>
      <c r="U435" s="17"/>
    </row>
    <row r="436" customFormat="false" ht="22.35" hidden="false" customHeight="false" outlineLevel="0" collapsed="false">
      <c r="A436" s="6" t="s">
        <v>999</v>
      </c>
      <c r="B436" s="6" t="s">
        <v>1000</v>
      </c>
      <c r="C436" s="6" t="s">
        <v>1006</v>
      </c>
      <c r="D436" s="9" t="s">
        <v>356</v>
      </c>
      <c r="E436" s="9" t="s">
        <v>1007</v>
      </c>
      <c r="F436" s="9" t="s">
        <v>1008</v>
      </c>
      <c r="G436" s="9" t="s">
        <v>1009</v>
      </c>
      <c r="H436" s="12" t="n">
        <v>20.043</v>
      </c>
      <c r="I436" s="6" t="s">
        <v>71</v>
      </c>
      <c r="J436" s="6" t="s">
        <v>303</v>
      </c>
      <c r="K436" s="6"/>
      <c r="L436" s="6" t="s">
        <v>403</v>
      </c>
      <c r="M436" s="6"/>
      <c r="N436" s="13"/>
      <c r="O436" s="12"/>
      <c r="P436" s="14"/>
      <c r="Q436" s="15"/>
      <c r="R436" s="12"/>
      <c r="S436" s="16"/>
      <c r="T436" s="7" t="n">
        <v>0</v>
      </c>
      <c r="U436" s="17"/>
    </row>
    <row r="437" customFormat="false" ht="15" hidden="false" customHeight="false" outlineLevel="0" collapsed="false">
      <c r="A437" s="6" t="s">
        <v>999</v>
      </c>
      <c r="B437" s="6" t="s">
        <v>1000</v>
      </c>
      <c r="C437" s="6" t="s">
        <v>1010</v>
      </c>
      <c r="D437" s="9" t="s">
        <v>1011</v>
      </c>
      <c r="E437" s="9" t="s">
        <v>1012</v>
      </c>
      <c r="F437" s="9" t="s">
        <v>1013</v>
      </c>
      <c r="G437" s="9" t="s">
        <v>1014</v>
      </c>
      <c r="H437" s="12" t="n">
        <v>583</v>
      </c>
      <c r="I437" s="6" t="s">
        <v>71</v>
      </c>
      <c r="J437" s="6" t="s">
        <v>1015</v>
      </c>
      <c r="K437" s="6"/>
      <c r="L437" s="6" t="s">
        <v>410</v>
      </c>
      <c r="M437" s="6"/>
      <c r="N437" s="13"/>
      <c r="O437" s="12"/>
      <c r="P437" s="14"/>
      <c r="Q437" s="15"/>
      <c r="R437" s="12"/>
      <c r="S437" s="16"/>
      <c r="T437" s="7" t="n">
        <v>0</v>
      </c>
      <c r="U437" s="17"/>
    </row>
    <row r="438" customFormat="false" ht="15" hidden="false" customHeight="false" outlineLevel="0" collapsed="false">
      <c r="A438" s="6" t="s">
        <v>999</v>
      </c>
      <c r="B438" s="6" t="s">
        <v>1000</v>
      </c>
      <c r="C438" s="6" t="s">
        <v>1016</v>
      </c>
      <c r="D438" s="9" t="s">
        <v>1011</v>
      </c>
      <c r="E438" s="9" t="s">
        <v>1017</v>
      </c>
      <c r="F438" s="9" t="s">
        <v>1018</v>
      </c>
      <c r="G438" s="9"/>
      <c r="H438" s="12" t="n">
        <v>48.583</v>
      </c>
      <c r="I438" s="6" t="s">
        <v>71</v>
      </c>
      <c r="J438" s="6" t="s">
        <v>1019</v>
      </c>
      <c r="K438" s="6"/>
      <c r="L438" s="6"/>
      <c r="M438" s="6" t="s">
        <v>76</v>
      </c>
      <c r="N438" s="13" t="str">
        <f aca="false">IFERROR(INDEX(Rates!$B$5:$B$84,MATCH(M438,Rates!$A$5:$A$84,0)),"")</f>
        <v>Ravi sand (mortar, plaster, blinding, fill)</v>
      </c>
      <c r="O438" s="12" t="n">
        <v>48.5833</v>
      </c>
      <c r="P438" s="14" t="str">
        <f aca="false">IFERROR(INDEX(Rates!$C$5:$C$84,MATCH(M438,Rates!$A$5:$A$84,0)),"")</f>
        <v>cft</v>
      </c>
      <c r="Q438" s="15" t="n">
        <f aca="false">IFERROR(INDEX(Rates!$D$5:$D$84,MATCH(M438,Rates!$A$5:$A$84,0)),0)</f>
        <v>0.08</v>
      </c>
      <c r="R438" s="12" t="n">
        <f aca="false">O438*(1+Q438)</f>
        <v>52.469964</v>
      </c>
      <c r="S438" s="16" t="n">
        <f aca="false">IFERROR(INDEX(Rates!$E$5:$E$84,MATCH(M438,Rates!$A$5:$A$84,0)),0)</f>
        <v>40</v>
      </c>
      <c r="T438" s="7" t="n">
        <f aca="false">R438*S438</f>
        <v>2098.79856</v>
      </c>
      <c r="U438" s="17" t="n">
        <f aca="false">IF(M438="BRK",R438/2000,IF(OR(M438="SNDC",M438="SNDM",M438="CRS",M438="KHG",M438="EARTH"),R438/100,""))</f>
        <v>0.52469964</v>
      </c>
    </row>
    <row r="439" customFormat="false" ht="22.35" hidden="false" customHeight="false" outlineLevel="0" collapsed="false">
      <c r="A439" s="6" t="s">
        <v>999</v>
      </c>
      <c r="B439" s="6" t="s">
        <v>1000</v>
      </c>
      <c r="C439" s="6" t="s">
        <v>1020</v>
      </c>
      <c r="D439" s="9" t="s">
        <v>1011</v>
      </c>
      <c r="E439" s="9" t="s">
        <v>1021</v>
      </c>
      <c r="F439" s="9" t="s">
        <v>1022</v>
      </c>
      <c r="G439" s="9"/>
      <c r="H439" s="12" t="n">
        <v>66.25</v>
      </c>
      <c r="I439" s="6" t="s">
        <v>71</v>
      </c>
      <c r="J439" s="6" t="s">
        <v>1019</v>
      </c>
      <c r="K439" s="6"/>
      <c r="L439" s="6"/>
      <c r="M439" s="6" t="s">
        <v>37</v>
      </c>
      <c r="N439" s="13" t="str">
        <f aca="false">IFERROR(INDEX(Rates!$B$5:$B$84,MATCH(M439,Rates!$A$5:$A$84,0)),"")</f>
        <v>Cement OPC, 50 kg bag (Lucky / Bestway / Maple Leaf)</v>
      </c>
      <c r="O439" s="12" t="n">
        <v>6.4008</v>
      </c>
      <c r="P439" s="14" t="str">
        <f aca="false">IFERROR(INDEX(Rates!$C$5:$C$84,MATCH(M439,Rates!$A$5:$A$84,0)),"")</f>
        <v>bag</v>
      </c>
      <c r="Q439" s="15" t="n">
        <f aca="false">IFERROR(INDEX(Rates!$D$5:$D$84,MATCH(M439,Rates!$A$5:$A$84,0)),0)</f>
        <v>0.03</v>
      </c>
      <c r="R439" s="12" t="n">
        <f aca="false">O439*(1+Q439)</f>
        <v>6.592824</v>
      </c>
      <c r="S439" s="16" t="n">
        <f aca="false">IFERROR(INDEX(Rates!$E$5:$E$84,MATCH(M439,Rates!$A$5:$A$84,0)),0)</f>
        <v>1560</v>
      </c>
      <c r="T439" s="7" t="n">
        <f aca="false">R439*S439</f>
        <v>10284.80544</v>
      </c>
      <c r="U439" s="17" t="str">
        <f aca="false">IF(M439="BRK",R439/2000,IF(OR(M439="SNDC",M439="SNDM",M439="CRS",M439="KHG",M439="EARTH"),R439/100,""))</f>
        <v/>
      </c>
    </row>
    <row r="440" customFormat="false" ht="15" hidden="false" customHeight="false" outlineLevel="0" collapsed="false">
      <c r="A440" s="6" t="s">
        <v>999</v>
      </c>
      <c r="B440" s="6" t="s">
        <v>1000</v>
      </c>
      <c r="C440" s="6" t="s">
        <v>1020</v>
      </c>
      <c r="D440" s="9"/>
      <c r="E440" s="9"/>
      <c r="F440" s="9"/>
      <c r="G440" s="9"/>
      <c r="H440" s="12"/>
      <c r="I440" s="6"/>
      <c r="J440" s="6" t="s">
        <v>1019</v>
      </c>
      <c r="K440" s="6"/>
      <c r="L440" s="6"/>
      <c r="M440" s="6" t="s">
        <v>69</v>
      </c>
      <c r="N440" s="13" t="str">
        <f aca="false">IFERROR(INDEX(Rates!$B$5:$B$84,MATCH(M440,Rates!$A$5:$A$84,0)),"")</f>
        <v>Chenab sand (concrete, screed)</v>
      </c>
      <c r="O440" s="12" t="n">
        <v>32.0038</v>
      </c>
      <c r="P440" s="14" t="str">
        <f aca="false">IFERROR(INDEX(Rates!$C$5:$C$84,MATCH(M440,Rates!$A$5:$A$84,0)),"")</f>
        <v>cft</v>
      </c>
      <c r="Q440" s="15" t="n">
        <f aca="false">IFERROR(INDEX(Rates!$D$5:$D$84,MATCH(M440,Rates!$A$5:$A$84,0)),0)</f>
        <v>0.08</v>
      </c>
      <c r="R440" s="12" t="n">
        <f aca="false">O440*(1+Q440)</f>
        <v>34.564104</v>
      </c>
      <c r="S440" s="16" t="n">
        <f aca="false">IFERROR(INDEX(Rates!$E$5:$E$84,MATCH(M440,Rates!$A$5:$A$84,0)),0)</f>
        <v>65</v>
      </c>
      <c r="T440" s="7" t="n">
        <f aca="false">R440*S440</f>
        <v>2246.66676</v>
      </c>
      <c r="U440" s="17" t="n">
        <f aca="false">IF(M440="BRK",R440/2000,IF(OR(M440="SNDC",M440="SNDM",M440="CRS",M440="KHG",M440="EARTH"),R440/100,""))</f>
        <v>0.34564104</v>
      </c>
    </row>
    <row r="441" customFormat="false" ht="15" hidden="false" customHeight="false" outlineLevel="0" collapsed="false">
      <c r="A441" s="6" t="s">
        <v>999</v>
      </c>
      <c r="B441" s="6" t="s">
        <v>1000</v>
      </c>
      <c r="C441" s="6" t="s">
        <v>1020</v>
      </c>
      <c r="D441" s="9"/>
      <c r="E441" s="9"/>
      <c r="F441" s="9"/>
      <c r="G441" s="9"/>
      <c r="H441" s="12"/>
      <c r="I441" s="6"/>
      <c r="J441" s="6" t="s">
        <v>1019</v>
      </c>
      <c r="K441" s="6"/>
      <c r="L441" s="6"/>
      <c r="M441" s="6" t="s">
        <v>79</v>
      </c>
      <c r="N441" s="13" t="str">
        <f aca="false">IFERROR(INDEX(Rates!$B$5:$B$84,MATCH(M441,Rates!$A$5:$A$84,0)),"")</f>
        <v>Crush ¾" down, Sargodha (bajri)</v>
      </c>
      <c r="O441" s="12" t="n">
        <v>64.0077</v>
      </c>
      <c r="P441" s="14" t="str">
        <f aca="false">IFERROR(INDEX(Rates!$C$5:$C$84,MATCH(M441,Rates!$A$5:$A$84,0)),"")</f>
        <v>cft</v>
      </c>
      <c r="Q441" s="15" t="n">
        <f aca="false">IFERROR(INDEX(Rates!$D$5:$D$84,MATCH(M441,Rates!$A$5:$A$84,0)),0)</f>
        <v>0.05</v>
      </c>
      <c r="R441" s="12" t="n">
        <f aca="false">O441*(1+Q441)</f>
        <v>67.208085</v>
      </c>
      <c r="S441" s="16" t="n">
        <f aca="false">IFERROR(INDEX(Rates!$E$5:$E$84,MATCH(M441,Rates!$A$5:$A$84,0)),0)</f>
        <v>110</v>
      </c>
      <c r="T441" s="7" t="n">
        <f aca="false">R441*S441</f>
        <v>7392.88935</v>
      </c>
      <c r="U441" s="17" t="n">
        <f aca="false">IF(M441="BRK",R441/2000,IF(OR(M441="SNDC",M441="SNDM",M441="CRS",M441="KHG",M441="EARTH"),R441/100,""))</f>
        <v>0.67208085</v>
      </c>
    </row>
    <row r="442" customFormat="false" ht="22.35" hidden="false" customHeight="false" outlineLevel="0" collapsed="false">
      <c r="A442" s="6" t="s">
        <v>999</v>
      </c>
      <c r="B442" s="6" t="s">
        <v>1000</v>
      </c>
      <c r="C442" s="6" t="s">
        <v>1023</v>
      </c>
      <c r="D442" s="9" t="s">
        <v>1024</v>
      </c>
      <c r="E442" s="9" t="s">
        <v>1025</v>
      </c>
      <c r="F442" s="9" t="s">
        <v>1026</v>
      </c>
      <c r="G442" s="9"/>
      <c r="H442" s="12" t="n">
        <v>64.155</v>
      </c>
      <c r="I442" s="6" t="s">
        <v>71</v>
      </c>
      <c r="J442" s="6" t="s">
        <v>1019</v>
      </c>
      <c r="K442" s="6"/>
      <c r="L442" s="6" t="s">
        <v>410</v>
      </c>
      <c r="M442" s="6"/>
      <c r="N442" s="13"/>
      <c r="O442" s="12"/>
      <c r="P442" s="14"/>
      <c r="Q442" s="15"/>
      <c r="R442" s="12"/>
      <c r="S442" s="16"/>
      <c r="T442" s="7" t="n">
        <v>0</v>
      </c>
      <c r="U442" s="17"/>
    </row>
    <row r="443" customFormat="false" ht="22.35" hidden="false" customHeight="false" outlineLevel="0" collapsed="false">
      <c r="A443" s="6" t="s">
        <v>999</v>
      </c>
      <c r="B443" s="6" t="s">
        <v>1000</v>
      </c>
      <c r="C443" s="6" t="s">
        <v>1027</v>
      </c>
      <c r="D443" s="9" t="s">
        <v>1024</v>
      </c>
      <c r="E443" s="9" t="s">
        <v>1028</v>
      </c>
      <c r="F443" s="9" t="s">
        <v>1026</v>
      </c>
      <c r="G443" s="9"/>
      <c r="H443" s="12" t="n">
        <v>33.605</v>
      </c>
      <c r="I443" s="6" t="s">
        <v>71</v>
      </c>
      <c r="J443" s="6" t="s">
        <v>1019</v>
      </c>
      <c r="K443" s="6"/>
      <c r="L443" s="6"/>
      <c r="M443" s="6" t="s">
        <v>76</v>
      </c>
      <c r="N443" s="13" t="str">
        <f aca="false">IFERROR(INDEX(Rates!$B$5:$B$84,MATCH(M443,Rates!$A$5:$A$84,0)),"")</f>
        <v>Ravi sand (mortar, plaster, blinding, fill)</v>
      </c>
      <c r="O443" s="12" t="n">
        <v>33.605</v>
      </c>
      <c r="P443" s="14" t="str">
        <f aca="false">IFERROR(INDEX(Rates!$C$5:$C$84,MATCH(M443,Rates!$A$5:$A$84,0)),"")</f>
        <v>cft</v>
      </c>
      <c r="Q443" s="15" t="n">
        <f aca="false">IFERROR(INDEX(Rates!$D$5:$D$84,MATCH(M443,Rates!$A$5:$A$84,0)),0)</f>
        <v>0.08</v>
      </c>
      <c r="R443" s="12" t="n">
        <f aca="false">O443*(1+Q443)</f>
        <v>36.2934</v>
      </c>
      <c r="S443" s="16" t="n">
        <f aca="false">IFERROR(INDEX(Rates!$E$5:$E$84,MATCH(M443,Rates!$A$5:$A$84,0)),0)</f>
        <v>40</v>
      </c>
      <c r="T443" s="7" t="n">
        <f aca="false">R443*S443</f>
        <v>1451.736</v>
      </c>
      <c r="U443" s="17" t="n">
        <f aca="false">IF(M443="BRK",R443/2000,IF(OR(M443="SNDC",M443="SNDM",M443="CRS",M443="KHG",M443="EARTH"),R443/100,""))</f>
        <v>0.362934</v>
      </c>
    </row>
    <row r="444" customFormat="false" ht="22.35" hidden="false" customHeight="false" outlineLevel="0" collapsed="false">
      <c r="A444" s="6" t="s">
        <v>999</v>
      </c>
      <c r="B444" s="6" t="s">
        <v>1000</v>
      </c>
      <c r="C444" s="6" t="s">
        <v>1029</v>
      </c>
      <c r="D444" s="9" t="s">
        <v>1024</v>
      </c>
      <c r="E444" s="9" t="s">
        <v>1030</v>
      </c>
      <c r="F444" s="9" t="s">
        <v>1026</v>
      </c>
      <c r="G444" s="9"/>
      <c r="H444" s="12" t="n">
        <v>45.825</v>
      </c>
      <c r="I444" s="6" t="s">
        <v>71</v>
      </c>
      <c r="J444" s="6" t="s">
        <v>1019</v>
      </c>
      <c r="K444" s="6"/>
      <c r="L444" s="6"/>
      <c r="M444" s="6" t="s">
        <v>37</v>
      </c>
      <c r="N444" s="13" t="str">
        <f aca="false">IFERROR(INDEX(Rates!$B$5:$B$84,MATCH(M444,Rates!$A$5:$A$84,0)),"")</f>
        <v>Cement OPC, 50 kg bag (Lucky / Bestway / Maple Leaf)</v>
      </c>
      <c r="O444" s="12" t="n">
        <v>4.4274</v>
      </c>
      <c r="P444" s="14" t="str">
        <f aca="false">IFERROR(INDEX(Rates!$C$5:$C$84,MATCH(M444,Rates!$A$5:$A$84,0)),"")</f>
        <v>bag</v>
      </c>
      <c r="Q444" s="15" t="n">
        <f aca="false">IFERROR(INDEX(Rates!$D$5:$D$84,MATCH(M444,Rates!$A$5:$A$84,0)),0)</f>
        <v>0.03</v>
      </c>
      <c r="R444" s="12" t="n">
        <f aca="false">O444*(1+Q444)</f>
        <v>4.560222</v>
      </c>
      <c r="S444" s="16" t="n">
        <f aca="false">IFERROR(INDEX(Rates!$E$5:$E$84,MATCH(M444,Rates!$A$5:$A$84,0)),0)</f>
        <v>1560</v>
      </c>
      <c r="T444" s="7" t="n">
        <f aca="false">R444*S444</f>
        <v>7113.94632</v>
      </c>
      <c r="U444" s="17" t="str">
        <f aca="false">IF(M444="BRK",R444/2000,IF(OR(M444="SNDC",M444="SNDM",M444="CRS",M444="KHG",M444="EARTH"),R444/100,""))</f>
        <v/>
      </c>
    </row>
    <row r="445" customFormat="false" ht="15" hidden="false" customHeight="false" outlineLevel="0" collapsed="false">
      <c r="A445" s="6" t="s">
        <v>999</v>
      </c>
      <c r="B445" s="6" t="s">
        <v>1000</v>
      </c>
      <c r="C445" s="6" t="s">
        <v>1029</v>
      </c>
      <c r="D445" s="9"/>
      <c r="E445" s="9"/>
      <c r="F445" s="9"/>
      <c r="G445" s="9"/>
      <c r="H445" s="12"/>
      <c r="I445" s="6"/>
      <c r="J445" s="6" t="s">
        <v>1019</v>
      </c>
      <c r="K445" s="6"/>
      <c r="L445" s="6"/>
      <c r="M445" s="6" t="s">
        <v>69</v>
      </c>
      <c r="N445" s="13" t="str">
        <f aca="false">IFERROR(INDEX(Rates!$B$5:$B$84,MATCH(M445,Rates!$A$5:$A$84,0)),"")</f>
        <v>Chenab sand (concrete, screed)</v>
      </c>
      <c r="O445" s="12" t="n">
        <v>22.137</v>
      </c>
      <c r="P445" s="14" t="str">
        <f aca="false">IFERROR(INDEX(Rates!$C$5:$C$84,MATCH(M445,Rates!$A$5:$A$84,0)),"")</f>
        <v>cft</v>
      </c>
      <c r="Q445" s="15" t="n">
        <f aca="false">IFERROR(INDEX(Rates!$D$5:$D$84,MATCH(M445,Rates!$A$5:$A$84,0)),0)</f>
        <v>0.08</v>
      </c>
      <c r="R445" s="12" t="n">
        <f aca="false">O445*(1+Q445)</f>
        <v>23.90796</v>
      </c>
      <c r="S445" s="16" t="n">
        <f aca="false">IFERROR(INDEX(Rates!$E$5:$E$84,MATCH(M445,Rates!$A$5:$A$84,0)),0)</f>
        <v>65</v>
      </c>
      <c r="T445" s="7" t="n">
        <f aca="false">R445*S445</f>
        <v>1554.0174</v>
      </c>
      <c r="U445" s="17" t="n">
        <f aca="false">IF(M445="BRK",R445/2000,IF(OR(M445="SNDC",M445="SNDM",M445="CRS",M445="KHG",M445="EARTH"),R445/100,""))</f>
        <v>0.2390796</v>
      </c>
    </row>
    <row r="446" customFormat="false" ht="15" hidden="false" customHeight="false" outlineLevel="0" collapsed="false">
      <c r="A446" s="6" t="s">
        <v>999</v>
      </c>
      <c r="B446" s="6" t="s">
        <v>1000</v>
      </c>
      <c r="C446" s="6" t="s">
        <v>1029</v>
      </c>
      <c r="D446" s="9"/>
      <c r="E446" s="9"/>
      <c r="F446" s="9"/>
      <c r="G446" s="9"/>
      <c r="H446" s="12"/>
      <c r="I446" s="6"/>
      <c r="J446" s="6" t="s">
        <v>1019</v>
      </c>
      <c r="K446" s="6"/>
      <c r="L446" s="6"/>
      <c r="M446" s="6" t="s">
        <v>79</v>
      </c>
      <c r="N446" s="13" t="str">
        <f aca="false">IFERROR(INDEX(Rates!$B$5:$B$84,MATCH(M446,Rates!$A$5:$A$84,0)),"")</f>
        <v>Crush ¾" down, Sargodha (bajri)</v>
      </c>
      <c r="O446" s="12" t="n">
        <v>44.274</v>
      </c>
      <c r="P446" s="14" t="str">
        <f aca="false">IFERROR(INDEX(Rates!$C$5:$C$84,MATCH(M446,Rates!$A$5:$A$84,0)),"")</f>
        <v>cft</v>
      </c>
      <c r="Q446" s="15" t="n">
        <f aca="false">IFERROR(INDEX(Rates!$D$5:$D$84,MATCH(M446,Rates!$A$5:$A$84,0)),0)</f>
        <v>0.05</v>
      </c>
      <c r="R446" s="12" t="n">
        <f aca="false">O446*(1+Q446)</f>
        <v>46.4877</v>
      </c>
      <c r="S446" s="16" t="n">
        <f aca="false">IFERROR(INDEX(Rates!$E$5:$E$84,MATCH(M446,Rates!$A$5:$A$84,0)),0)</f>
        <v>110</v>
      </c>
      <c r="T446" s="7" t="n">
        <f aca="false">R446*S446</f>
        <v>5113.647</v>
      </c>
      <c r="U446" s="17" t="n">
        <f aca="false">IF(M446="BRK",R446/2000,IF(OR(M446="SNDC",M446="SNDM",M446="CRS",M446="KHG",M446="EARTH"),R446/100,""))</f>
        <v>0.464877</v>
      </c>
    </row>
    <row r="447" customFormat="false" ht="22.35" hidden="false" customHeight="false" outlineLevel="0" collapsed="false">
      <c r="A447" s="6" t="s">
        <v>999</v>
      </c>
      <c r="B447" s="6" t="s">
        <v>1000</v>
      </c>
      <c r="C447" s="6" t="s">
        <v>1031</v>
      </c>
      <c r="D447" s="9" t="s">
        <v>1032</v>
      </c>
      <c r="E447" s="9" t="s">
        <v>1033</v>
      </c>
      <c r="F447" s="9" t="s">
        <v>1034</v>
      </c>
      <c r="G447" s="9" t="s">
        <v>1035</v>
      </c>
      <c r="H447" s="12" t="n">
        <v>40</v>
      </c>
      <c r="I447" s="6" t="s">
        <v>71</v>
      </c>
      <c r="J447" s="6" t="s">
        <v>1019</v>
      </c>
      <c r="K447" s="6"/>
      <c r="L447" s="6"/>
      <c r="M447" s="6" t="s">
        <v>37</v>
      </c>
      <c r="N447" s="13" t="str">
        <f aca="false">IFERROR(INDEX(Rates!$B$5:$B$84,MATCH(M447,Rates!$A$5:$A$84,0)),"")</f>
        <v>Cement OPC, 50 kg bag (Lucky / Bestway / Maple Leaf)</v>
      </c>
      <c r="O447" s="12" t="n">
        <v>4.0603</v>
      </c>
      <c r="P447" s="14" t="str">
        <f aca="false">IFERROR(INDEX(Rates!$C$5:$C$84,MATCH(M447,Rates!$A$5:$A$84,0)),"")</f>
        <v>bag</v>
      </c>
      <c r="Q447" s="15" t="n">
        <f aca="false">IFERROR(INDEX(Rates!$D$5:$D$84,MATCH(M447,Rates!$A$5:$A$84,0)),0)</f>
        <v>0.03</v>
      </c>
      <c r="R447" s="12" t="n">
        <f aca="false">O447*(1+Q447)</f>
        <v>4.182109</v>
      </c>
      <c r="S447" s="16" t="n">
        <f aca="false">IFERROR(INDEX(Rates!$E$5:$E$84,MATCH(M447,Rates!$A$5:$A$84,0)),0)</f>
        <v>1560</v>
      </c>
      <c r="T447" s="7" t="n">
        <f aca="false">R447*S447</f>
        <v>6524.09004</v>
      </c>
      <c r="U447" s="17" t="str">
        <f aca="false">IF(M447="BRK",R447/2000,IF(OR(M447="SNDC",M447="SNDM",M447="CRS",M447="KHG",M447="EARTH"),R447/100,""))</f>
        <v/>
      </c>
    </row>
    <row r="448" customFormat="false" ht="15" hidden="false" customHeight="false" outlineLevel="0" collapsed="false">
      <c r="A448" s="6" t="s">
        <v>999</v>
      </c>
      <c r="B448" s="6" t="s">
        <v>1000</v>
      </c>
      <c r="C448" s="6" t="s">
        <v>1031</v>
      </c>
      <c r="D448" s="9"/>
      <c r="E448" s="9"/>
      <c r="F448" s="9"/>
      <c r="G448" s="9"/>
      <c r="H448" s="12"/>
      <c r="I448" s="6"/>
      <c r="J448" s="6" t="s">
        <v>1019</v>
      </c>
      <c r="K448" s="6"/>
      <c r="L448" s="6"/>
      <c r="M448" s="6" t="s">
        <v>69</v>
      </c>
      <c r="N448" s="13" t="str">
        <f aca="false">IFERROR(INDEX(Rates!$B$5:$B$84,MATCH(M448,Rates!$A$5:$A$84,0)),"")</f>
        <v>Chenab sand (concrete, screed)</v>
      </c>
      <c r="O448" s="12" t="n">
        <v>22.9615</v>
      </c>
      <c r="P448" s="14" t="str">
        <f aca="false">IFERROR(INDEX(Rates!$C$5:$C$84,MATCH(M448,Rates!$A$5:$A$84,0)),"")</f>
        <v>cft</v>
      </c>
      <c r="Q448" s="15" t="n">
        <f aca="false">IFERROR(INDEX(Rates!$D$5:$D$84,MATCH(M448,Rates!$A$5:$A$84,0)),0)</f>
        <v>0.08</v>
      </c>
      <c r="R448" s="12" t="n">
        <f aca="false">O448*(1+Q448)</f>
        <v>24.79842</v>
      </c>
      <c r="S448" s="16" t="n">
        <f aca="false">IFERROR(INDEX(Rates!$E$5:$E$84,MATCH(M448,Rates!$A$5:$A$84,0)),0)</f>
        <v>65</v>
      </c>
      <c r="T448" s="7" t="n">
        <f aca="false">R448*S448</f>
        <v>1611.8973</v>
      </c>
      <c r="U448" s="17" t="n">
        <f aca="false">IF(M448="BRK",R448/2000,IF(OR(M448="SNDC",M448="SNDM",M448="CRS",M448="KHG",M448="EARTH"),R448/100,""))</f>
        <v>0.2479842</v>
      </c>
    </row>
    <row r="449" customFormat="false" ht="15" hidden="false" customHeight="false" outlineLevel="0" collapsed="false">
      <c r="A449" s="6" t="s">
        <v>999</v>
      </c>
      <c r="B449" s="6" t="s">
        <v>1000</v>
      </c>
      <c r="C449" s="6" t="s">
        <v>1031</v>
      </c>
      <c r="D449" s="9"/>
      <c r="E449" s="9"/>
      <c r="F449" s="9"/>
      <c r="G449" s="9"/>
      <c r="H449" s="12"/>
      <c r="I449" s="6"/>
      <c r="J449" s="6" t="s">
        <v>1019</v>
      </c>
      <c r="K449" s="6"/>
      <c r="L449" s="6"/>
      <c r="M449" s="6" t="s">
        <v>79</v>
      </c>
      <c r="N449" s="13" t="str">
        <f aca="false">IFERROR(INDEX(Rates!$B$5:$B$84,MATCH(M449,Rates!$A$5:$A$84,0)),"")</f>
        <v>Crush ¾" down, Sargodha (bajri)</v>
      </c>
      <c r="O449" s="12" t="n">
        <v>19.3231</v>
      </c>
      <c r="P449" s="14" t="str">
        <f aca="false">IFERROR(INDEX(Rates!$C$5:$C$84,MATCH(M449,Rates!$A$5:$A$84,0)),"")</f>
        <v>cft</v>
      </c>
      <c r="Q449" s="15" t="n">
        <f aca="false">IFERROR(INDEX(Rates!$D$5:$D$84,MATCH(M449,Rates!$A$5:$A$84,0)),0)</f>
        <v>0.05</v>
      </c>
      <c r="R449" s="12" t="n">
        <f aca="false">O449*(1+Q449)</f>
        <v>20.289255</v>
      </c>
      <c r="S449" s="16" t="n">
        <f aca="false">IFERROR(INDEX(Rates!$E$5:$E$84,MATCH(M449,Rates!$A$5:$A$84,0)),0)</f>
        <v>110</v>
      </c>
      <c r="T449" s="7" t="n">
        <f aca="false">R449*S449</f>
        <v>2231.81805</v>
      </c>
      <c r="U449" s="17" t="n">
        <f aca="false">IF(M449="BRK",R449/2000,IF(OR(M449="SNDC",M449="SNDM",M449="CRS",M449="KHG",M449="EARTH"),R449/100,""))</f>
        <v>0.20289255</v>
      </c>
    </row>
    <row r="450" customFormat="false" ht="15" hidden="false" customHeight="false" outlineLevel="0" collapsed="false">
      <c r="A450" s="6" t="s">
        <v>999</v>
      </c>
      <c r="B450" s="6" t="s">
        <v>1000</v>
      </c>
      <c r="C450" s="6" t="s">
        <v>1031</v>
      </c>
      <c r="D450" s="9"/>
      <c r="E450" s="9"/>
      <c r="F450" s="9"/>
      <c r="G450" s="9"/>
      <c r="H450" s="12"/>
      <c r="I450" s="6"/>
      <c r="J450" s="6" t="s">
        <v>1019</v>
      </c>
      <c r="K450" s="6"/>
      <c r="L450" s="6"/>
      <c r="M450" s="6" t="s">
        <v>43</v>
      </c>
      <c r="N450" s="13" t="str">
        <f aca="false">IFERROR(INDEX(Rates!$B$5:$B$84,MATCH(M450,Rates!$A$5:$A$84,0)),"")</f>
        <v>Bricks, first class (awwal), 9" x 4½" x 3"</v>
      </c>
      <c r="O450" s="12" t="n">
        <v>540</v>
      </c>
      <c r="P450" s="14" t="str">
        <f aca="false">IFERROR(INDEX(Rates!$C$5:$C$84,MATCH(M450,Rates!$A$5:$A$84,0)),"")</f>
        <v>nos</v>
      </c>
      <c r="Q450" s="15" t="n">
        <f aca="false">IFERROR(INDEX(Rates!$D$5:$D$84,MATCH(M450,Rates!$A$5:$A$84,0)),0)</f>
        <v>0.05</v>
      </c>
      <c r="R450" s="12" t="n">
        <f aca="false">O450*(1+Q450)</f>
        <v>567</v>
      </c>
      <c r="S450" s="16" t="n">
        <f aca="false">IFERROR(INDEX(Rates!$E$5:$E$84,MATCH(M450,Rates!$A$5:$A$84,0)),0)</f>
        <v>16</v>
      </c>
      <c r="T450" s="7" t="n">
        <f aca="false">R450*S450</f>
        <v>9072</v>
      </c>
      <c r="U450" s="17" t="n">
        <f aca="false">IF(M450="BRK",R450/2000,IF(OR(M450="SNDC",M450="SNDM",M450="CRS",M450="KHG",M450="EARTH"),R450/100,""))</f>
        <v>0.2835</v>
      </c>
    </row>
    <row r="451" customFormat="false" ht="22.35" hidden="false" customHeight="false" outlineLevel="0" collapsed="false">
      <c r="A451" s="6" t="s">
        <v>999</v>
      </c>
      <c r="B451" s="6" t="s">
        <v>1000</v>
      </c>
      <c r="C451" s="6" t="s">
        <v>1036</v>
      </c>
      <c r="D451" s="9" t="s">
        <v>1037</v>
      </c>
      <c r="E451" s="9" t="s">
        <v>1038</v>
      </c>
      <c r="F451" s="9" t="s">
        <v>1039</v>
      </c>
      <c r="G451" s="9"/>
      <c r="H451" s="12" t="n">
        <v>27.875</v>
      </c>
      <c r="I451" s="6" t="s">
        <v>394</v>
      </c>
      <c r="J451" s="6" t="s">
        <v>1040</v>
      </c>
      <c r="K451" s="6"/>
      <c r="L451" s="6"/>
      <c r="M451" s="6" t="s">
        <v>37</v>
      </c>
      <c r="N451" s="13" t="str">
        <f aca="false">IFERROR(INDEX(Rates!$B$5:$B$84,MATCH(M451,Rates!$A$5:$A$84,0)),"")</f>
        <v>Cement OPC, 50 kg bag (Lucky / Bestway / Maple Leaf)</v>
      </c>
      <c r="O451" s="12" t="n">
        <v>0.4634</v>
      </c>
      <c r="P451" s="14" t="str">
        <f aca="false">IFERROR(INDEX(Rates!$C$5:$C$84,MATCH(M451,Rates!$A$5:$A$84,0)),"")</f>
        <v>bag</v>
      </c>
      <c r="Q451" s="15" t="n">
        <f aca="false">IFERROR(INDEX(Rates!$D$5:$D$84,MATCH(M451,Rates!$A$5:$A$84,0)),0)</f>
        <v>0.03</v>
      </c>
      <c r="R451" s="12" t="n">
        <f aca="false">O451*(1+Q451)</f>
        <v>0.477302</v>
      </c>
      <c r="S451" s="16" t="n">
        <f aca="false">IFERROR(INDEX(Rates!$E$5:$E$84,MATCH(M451,Rates!$A$5:$A$84,0)),0)</f>
        <v>1560</v>
      </c>
      <c r="T451" s="7" t="n">
        <f aca="false">R451*S451</f>
        <v>744.59112</v>
      </c>
      <c r="U451" s="17" t="str">
        <f aca="false">IF(M451="BRK",R451/2000,IF(OR(M451="SNDC",M451="SNDM",M451="CRS",M451="KHG",M451="EARTH"),R451/100,""))</f>
        <v/>
      </c>
    </row>
    <row r="452" customFormat="false" ht="15" hidden="false" customHeight="false" outlineLevel="0" collapsed="false">
      <c r="A452" s="6" t="s">
        <v>999</v>
      </c>
      <c r="B452" s="6" t="s">
        <v>1000</v>
      </c>
      <c r="C452" s="6" t="s">
        <v>1036</v>
      </c>
      <c r="D452" s="9"/>
      <c r="E452" s="9"/>
      <c r="F452" s="9"/>
      <c r="G452" s="9"/>
      <c r="H452" s="12"/>
      <c r="I452" s="6"/>
      <c r="J452" s="6" t="s">
        <v>1040</v>
      </c>
      <c r="K452" s="6"/>
      <c r="L452" s="6"/>
      <c r="M452" s="6" t="s">
        <v>76</v>
      </c>
      <c r="N452" s="13" t="str">
        <f aca="false">IFERROR(INDEX(Rates!$B$5:$B$84,MATCH(M452,Rates!$A$5:$A$84,0)),"")</f>
        <v>Ravi sand (mortar, plaster, blinding, fill)</v>
      </c>
      <c r="O452" s="12" t="n">
        <v>2.3171</v>
      </c>
      <c r="P452" s="14" t="str">
        <f aca="false">IFERROR(INDEX(Rates!$C$5:$C$84,MATCH(M452,Rates!$A$5:$A$84,0)),"")</f>
        <v>cft</v>
      </c>
      <c r="Q452" s="15" t="n">
        <f aca="false">IFERROR(INDEX(Rates!$D$5:$D$84,MATCH(M452,Rates!$A$5:$A$84,0)),0)</f>
        <v>0.08</v>
      </c>
      <c r="R452" s="12" t="n">
        <f aca="false">O452*(1+Q452)</f>
        <v>2.502468</v>
      </c>
      <c r="S452" s="16" t="n">
        <f aca="false">IFERROR(INDEX(Rates!$E$5:$E$84,MATCH(M452,Rates!$A$5:$A$84,0)),0)</f>
        <v>40</v>
      </c>
      <c r="T452" s="7" t="n">
        <f aca="false">R452*S452</f>
        <v>100.09872</v>
      </c>
      <c r="U452" s="17" t="n">
        <f aca="false">IF(M452="BRK",R452/2000,IF(OR(M452="SNDC",M452="SNDM",M452="CRS",M452="KHG",M452="EARTH"),R452/100,""))</f>
        <v>0.02502468</v>
      </c>
    </row>
    <row r="454" customFormat="false" ht="15" hidden="false" customHeight="false" outlineLevel="0" collapsed="false">
      <c r="E454" s="3" t="s">
        <v>1041</v>
      </c>
      <c r="T454" s="18" t="n">
        <f aca="false">SUM(T5:T452)</f>
        <v>9102989.182104</v>
      </c>
    </row>
  </sheetData>
  <autoFilter ref="A4:U4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2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1" min="10" style="0" width="11"/>
    <col collapsed="false" customWidth="true" hidden="false" outlineLevel="0" max="12" min="12" style="0" width="14"/>
    <col collapsed="false" customWidth="true" hidden="false" outlineLevel="0" max="13" min="13" style="0" width="11"/>
    <col collapsed="false" customWidth="true" hidden="false" outlineLevel="0" max="14" min="14" style="0" width="14"/>
  </cols>
  <sheetData>
    <row r="1" customFormat="false" ht="17.35" hidden="false" customHeight="false" outlineLevel="0" collapsed="false">
      <c r="A1" s="1" t="s">
        <v>1042</v>
      </c>
    </row>
    <row r="2" customFormat="false" ht="15" hidden="false" customHeight="false" outlineLevel="0" collapsed="false">
      <c r="A2" s="2" t="s">
        <v>1043</v>
      </c>
    </row>
    <row r="4" customFormat="false" ht="22.35" hidden="false" customHeight="false" outlineLevel="0" collapsed="false">
      <c r="A4" s="8" t="s">
        <v>28</v>
      </c>
      <c r="B4" s="8" t="s">
        <v>29</v>
      </c>
      <c r="C4" s="8" t="s">
        <v>7</v>
      </c>
      <c r="D4" s="8" t="s">
        <v>275</v>
      </c>
      <c r="E4" s="8" t="s">
        <v>30</v>
      </c>
      <c r="F4" s="8" t="s">
        <v>276</v>
      </c>
      <c r="G4" s="8" t="s">
        <v>32</v>
      </c>
      <c r="H4" s="8" t="s">
        <v>33</v>
      </c>
      <c r="I4" s="8" t="s">
        <v>6</v>
      </c>
      <c r="J4" s="8" t="s">
        <v>1044</v>
      </c>
      <c r="K4" s="8" t="s">
        <v>277</v>
      </c>
      <c r="L4" s="8" t="s">
        <v>8</v>
      </c>
      <c r="M4" s="8" t="s">
        <v>1045</v>
      </c>
      <c r="N4" s="8" t="s">
        <v>36</v>
      </c>
    </row>
    <row r="5" customFormat="false" ht="15" hidden="false" customHeight="false" outlineLevel="0" collapsed="false">
      <c r="A5" s="6" t="s">
        <v>37</v>
      </c>
      <c r="B5" s="14" t="str">
        <f aca="false">INDEX(Rates!$B$5:$B$84,MATCH(A5,Rates!$A$5:$A$84,0))</f>
        <v>Cement OPC, 50 kg bag (Lucky / Bestway / Maple Leaf)</v>
      </c>
      <c r="C5" s="14" t="str">
        <f aca="false">INDEX(Rates!$C$5:$C$84,MATCH(A5,Rates!$A$5:$A$84,0))</f>
        <v>bag</v>
      </c>
      <c r="D5" s="12" t="n">
        <f aca="false">SUMIF(BOQ!$M$5:$M$452,A5,BOQ!$O$5:$O$452)</f>
        <v>1498.8854</v>
      </c>
      <c r="E5" s="15" t="n">
        <f aca="false">IFERROR(INDEX(Rates!$D$5:$D$84,MATCH(A5,Rates!$A$5:$A$84,0)),0)</f>
        <v>0.03</v>
      </c>
      <c r="F5" s="12" t="n">
        <f aca="false">D5*(1+E5)</f>
        <v>1543.851962</v>
      </c>
      <c r="G5" s="14" t="str">
        <f aca="false">INDEX(Rates!$F$5:$F$84,MATCH(A5,Rates!$A$5:$A$84,0))</f>
        <v>bag</v>
      </c>
      <c r="H5" s="14" t="n">
        <f aca="false">INDEX(Rates!$G$5:$G$84,MATCH(A5,Rates!$A$5:$A$84,0))</f>
        <v>1</v>
      </c>
      <c r="I5" s="12" t="n">
        <f aca="false">ROUNDUP(F5/H5,0)*H5</f>
        <v>1544</v>
      </c>
      <c r="J5" s="19" t="n">
        <f aca="false">I5/H5</f>
        <v>1544</v>
      </c>
      <c r="K5" s="16" t="n">
        <f aca="false">IFERROR(INDEX(Rates!$E$5:$E$84,MATCH(A5,Rates!$A$5:$A$84,0)),0)</f>
        <v>1560</v>
      </c>
      <c r="L5" s="7" t="n">
        <f aca="false">I5*K5</f>
        <v>2408640</v>
      </c>
      <c r="M5" s="6" t="str">
        <f aca="false">IF(A5="BRK",ROUNDUP(I5/2000,0),IF(OR(A5="SNDC",A5="SNDM",A5="CRS",A5="KHG",A5="EARTH"),ROUNDUP(I5/100,0),""))</f>
        <v/>
      </c>
      <c r="N5" s="14" t="str">
        <f aca="false">INDEX(Rates!$J$5:$J$84,MATCH(A5,Rates!$A$5:$A$84,0))</f>
        <v>Cement</v>
      </c>
    </row>
    <row r="6" customFormat="false" ht="15" hidden="false" customHeight="false" outlineLevel="0" collapsed="false">
      <c r="A6" s="6" t="s">
        <v>43</v>
      </c>
      <c r="B6" s="14" t="str">
        <f aca="false">INDEX(Rates!$B$5:$B$84,MATCH(A6,Rates!$A$5:$A$84,0))</f>
        <v>Bricks, first class (awwal), 9" x 4½" x 3"</v>
      </c>
      <c r="C6" s="14" t="str">
        <f aca="false">INDEX(Rates!$C$5:$C$84,MATCH(A6,Rates!$A$5:$A$84,0))</f>
        <v>nos</v>
      </c>
      <c r="D6" s="12" t="n">
        <f aca="false">SUMIF(BOQ!$M$5:$M$452,A6,BOQ!$O$5:$O$452)</f>
        <v>126535.5087</v>
      </c>
      <c r="E6" s="15" t="n">
        <f aca="false">IFERROR(INDEX(Rates!$D$5:$D$84,MATCH(A6,Rates!$A$5:$A$84,0)),0)</f>
        <v>0.05</v>
      </c>
      <c r="F6" s="12" t="n">
        <f aca="false">D6*(1+E6)</f>
        <v>132862.284135</v>
      </c>
      <c r="G6" s="14" t="str">
        <f aca="false">INDEX(Rates!$F$5:$F$84,MATCH(A6,Rates!$A$5:$A$84,0))</f>
        <v>1,000 bricks</v>
      </c>
      <c r="H6" s="14" t="n">
        <f aca="false">INDEX(Rates!$G$5:$G$84,MATCH(A6,Rates!$A$5:$A$84,0))</f>
        <v>1000</v>
      </c>
      <c r="I6" s="12" t="n">
        <f aca="false">ROUNDUP(F6/H6,0)*H6</f>
        <v>133000</v>
      </c>
      <c r="J6" s="19" t="n">
        <f aca="false">I6/H6</f>
        <v>133</v>
      </c>
      <c r="K6" s="16" t="n">
        <f aca="false">IFERROR(INDEX(Rates!$E$5:$E$84,MATCH(A6,Rates!$A$5:$A$84,0)),0)</f>
        <v>16</v>
      </c>
      <c r="L6" s="7" t="n">
        <f aca="false">I6*K6</f>
        <v>2128000</v>
      </c>
      <c r="M6" s="6" t="n">
        <f aca="false">IF(A6="BRK",ROUNDUP(I6/2000,0),IF(OR(A6="SNDC",A6="SNDM",A6="CRS",A6="KHG",A6="EARTH"),ROUNDUP(I6/100,0),""))</f>
        <v>67</v>
      </c>
      <c r="N6" s="14" t="str">
        <f aca="false">INDEX(Rates!$J$5:$J$84,MATCH(A6,Rates!$A$5:$A$84,0))</f>
        <v>Bricks</v>
      </c>
    </row>
    <row r="7" customFormat="false" ht="15" hidden="false" customHeight="false" outlineLevel="0" collapsed="false">
      <c r="A7" s="6" t="s">
        <v>50</v>
      </c>
      <c r="B7" s="14" t="str">
        <f aca="false">INDEX(Rates!$B$5:$B$84,MATCH(A7,Rates!$A$5:$A$84,0))</f>
        <v>Steel Grade 60 deformed, #2 (6 mm) rings</v>
      </c>
      <c r="C7" s="14" t="str">
        <f aca="false">INDEX(Rates!$C$5:$C$84,MATCH(A7,Rates!$A$5:$A$84,0))</f>
        <v>kg</v>
      </c>
      <c r="D7" s="12" t="n">
        <f aca="false">SUMIF(BOQ!$M$5:$M$452,A7,BOQ!$O$5:$O$452)</f>
        <v>155.1304</v>
      </c>
      <c r="E7" s="15" t="n">
        <f aca="false">IFERROR(INDEX(Rates!$D$5:$D$84,MATCH(A7,Rates!$A$5:$A$84,0)),0)</f>
        <v>0.04</v>
      </c>
      <c r="F7" s="12" t="n">
        <f aca="false">D7*(1+E7)</f>
        <v>161.335616</v>
      </c>
      <c r="G7" s="14" t="str">
        <f aca="false">INDEX(Rates!$F$5:$F$84,MATCH(A7,Rates!$A$5:$A$84,0))</f>
        <v>10 kg</v>
      </c>
      <c r="H7" s="14" t="n">
        <f aca="false">INDEX(Rates!$G$5:$G$84,MATCH(A7,Rates!$A$5:$A$84,0))</f>
        <v>10</v>
      </c>
      <c r="I7" s="12" t="n">
        <f aca="false">ROUNDUP(F7/H7,0)*H7</f>
        <v>170</v>
      </c>
      <c r="J7" s="19" t="n">
        <f aca="false">I7/H7</f>
        <v>17</v>
      </c>
      <c r="K7" s="16" t="n">
        <f aca="false">IFERROR(INDEX(Rates!$E$5:$E$84,MATCH(A7,Rates!$A$5:$A$84,0)),0)</f>
        <v>270</v>
      </c>
      <c r="L7" s="7" t="n">
        <f aca="false">I7*K7</f>
        <v>45900</v>
      </c>
      <c r="M7" s="6" t="str">
        <f aca="false">IF(A7="BRK",ROUNDUP(I7/2000,0),IF(OR(A7="SNDC",A7="SNDM",A7="CRS",A7="KHG",A7="EARTH"),ROUNDUP(I7/100,0),""))</f>
        <v/>
      </c>
      <c r="N7" s="14" t="str">
        <f aca="false">INDEX(Rates!$J$5:$J$84,MATCH(A7,Rates!$A$5:$A$84,0))</f>
        <v>Steel</v>
      </c>
    </row>
    <row r="8" customFormat="false" ht="15" hidden="false" customHeight="false" outlineLevel="0" collapsed="false">
      <c r="A8" s="6" t="s">
        <v>56</v>
      </c>
      <c r="B8" s="14" t="str">
        <f aca="false">INDEX(Rates!$B$5:$B$84,MATCH(A8,Rates!$A$5:$A$84,0))</f>
        <v>Steel Grade 60 deformed, #3 (10 mm) (Amreli / Mughal / FF Steel)</v>
      </c>
      <c r="C8" s="14" t="str">
        <f aca="false">INDEX(Rates!$C$5:$C$84,MATCH(A8,Rates!$A$5:$A$84,0))</f>
        <v>kg</v>
      </c>
      <c r="D8" s="12" t="n">
        <f aca="false">SUMIF(BOQ!$M$5:$M$452,A8,BOQ!$O$5:$O$452)</f>
        <v>3785.6276</v>
      </c>
      <c r="E8" s="15" t="n">
        <f aca="false">IFERROR(INDEX(Rates!$D$5:$D$84,MATCH(A8,Rates!$A$5:$A$84,0)),0)</f>
        <v>0.04</v>
      </c>
      <c r="F8" s="12" t="n">
        <f aca="false">D8*(1+E8)</f>
        <v>3937.052704</v>
      </c>
      <c r="G8" s="14" t="str">
        <f aca="false">INDEX(Rates!$F$5:$F$84,MATCH(A8,Rates!$A$5:$A$84,0))</f>
        <v>10 kg</v>
      </c>
      <c r="H8" s="14" t="n">
        <f aca="false">INDEX(Rates!$G$5:$G$84,MATCH(A8,Rates!$A$5:$A$84,0))</f>
        <v>10</v>
      </c>
      <c r="I8" s="12" t="n">
        <f aca="false">ROUNDUP(F8/H8,0)*H8</f>
        <v>3940</v>
      </c>
      <c r="J8" s="19" t="n">
        <f aca="false">I8/H8</f>
        <v>394</v>
      </c>
      <c r="K8" s="16" t="n">
        <f aca="false">IFERROR(INDEX(Rates!$E$5:$E$84,MATCH(A8,Rates!$A$5:$A$84,0)),0)</f>
        <v>262</v>
      </c>
      <c r="L8" s="7" t="n">
        <f aca="false">I8*K8</f>
        <v>1032280</v>
      </c>
      <c r="M8" s="6" t="str">
        <f aca="false">IF(A8="BRK",ROUNDUP(I8/2000,0),IF(OR(A8="SNDC",A8="SNDM",A8="CRS",A8="KHG",A8="EARTH"),ROUNDUP(I8/100,0),""))</f>
        <v/>
      </c>
      <c r="N8" s="14" t="str">
        <f aca="false">INDEX(Rates!$J$5:$J$84,MATCH(A8,Rates!$A$5:$A$84,0))</f>
        <v>Steel</v>
      </c>
    </row>
    <row r="9" customFormat="false" ht="15" hidden="false" customHeight="false" outlineLevel="0" collapsed="false">
      <c r="A9" s="6" t="s">
        <v>59</v>
      </c>
      <c r="B9" s="14" t="str">
        <f aca="false">INDEX(Rates!$B$5:$B$84,MATCH(A9,Rates!$A$5:$A$84,0))</f>
        <v>Steel Grade 60 deformed, #4 (12 mm)</v>
      </c>
      <c r="C9" s="14" t="str">
        <f aca="false">INDEX(Rates!$C$5:$C$84,MATCH(A9,Rates!$A$5:$A$84,0))</f>
        <v>kg</v>
      </c>
      <c r="D9" s="12" t="n">
        <f aca="false">SUMIF(BOQ!$M$5:$M$452,A9,BOQ!$O$5:$O$452)</f>
        <v>2165.0331</v>
      </c>
      <c r="E9" s="15" t="n">
        <f aca="false">IFERROR(INDEX(Rates!$D$5:$D$84,MATCH(A9,Rates!$A$5:$A$84,0)),0)</f>
        <v>0.04</v>
      </c>
      <c r="F9" s="12" t="n">
        <f aca="false">D9*(1+E9)</f>
        <v>2251.634424</v>
      </c>
      <c r="G9" s="14" t="str">
        <f aca="false">INDEX(Rates!$F$5:$F$84,MATCH(A9,Rates!$A$5:$A$84,0))</f>
        <v>10 kg</v>
      </c>
      <c r="H9" s="14" t="n">
        <f aca="false">INDEX(Rates!$G$5:$G$84,MATCH(A9,Rates!$A$5:$A$84,0))</f>
        <v>10</v>
      </c>
      <c r="I9" s="12" t="n">
        <f aca="false">ROUNDUP(F9/H9,0)*H9</f>
        <v>2260</v>
      </c>
      <c r="J9" s="19" t="n">
        <f aca="false">I9/H9</f>
        <v>226</v>
      </c>
      <c r="K9" s="16" t="n">
        <f aca="false">IFERROR(INDEX(Rates!$E$5:$E$84,MATCH(A9,Rates!$A$5:$A$84,0)),0)</f>
        <v>262</v>
      </c>
      <c r="L9" s="7" t="n">
        <f aca="false">I9*K9</f>
        <v>592120</v>
      </c>
      <c r="M9" s="6" t="str">
        <f aca="false">IF(A9="BRK",ROUNDUP(I9/2000,0),IF(OR(A9="SNDC",A9="SNDM",A9="CRS",A9="KHG",A9="EARTH"),ROUNDUP(I9/100,0),""))</f>
        <v/>
      </c>
      <c r="N9" s="14" t="str">
        <f aca="false">INDEX(Rates!$J$5:$J$84,MATCH(A9,Rates!$A$5:$A$84,0))</f>
        <v>Steel</v>
      </c>
    </row>
    <row r="10" customFormat="false" ht="15" hidden="false" customHeight="false" outlineLevel="0" collapsed="false">
      <c r="A10" s="6" t="s">
        <v>62</v>
      </c>
      <c r="B10" s="14" t="str">
        <f aca="false">INDEX(Rates!$B$5:$B$84,MATCH(A10,Rates!$A$5:$A$84,0))</f>
        <v>Steel Grade 60 deformed, #6 (20 mm)</v>
      </c>
      <c r="C10" s="14" t="str">
        <f aca="false">INDEX(Rates!$C$5:$C$84,MATCH(A10,Rates!$A$5:$A$84,0))</f>
        <v>kg</v>
      </c>
      <c r="D10" s="12" t="n">
        <f aca="false">SUMIF(BOQ!$M$5:$M$452,A10,BOQ!$O$5:$O$452)</f>
        <v>974.5926</v>
      </c>
      <c r="E10" s="15" t="n">
        <f aca="false">IFERROR(INDEX(Rates!$D$5:$D$84,MATCH(A10,Rates!$A$5:$A$84,0)),0)</f>
        <v>0.04</v>
      </c>
      <c r="F10" s="12" t="n">
        <f aca="false">D10*(1+E10)</f>
        <v>1013.576304</v>
      </c>
      <c r="G10" s="14" t="str">
        <f aca="false">INDEX(Rates!$F$5:$F$84,MATCH(A10,Rates!$A$5:$A$84,0))</f>
        <v>10 kg</v>
      </c>
      <c r="H10" s="14" t="n">
        <f aca="false">INDEX(Rates!$G$5:$G$84,MATCH(A10,Rates!$A$5:$A$84,0))</f>
        <v>10</v>
      </c>
      <c r="I10" s="12" t="n">
        <f aca="false">ROUNDUP(F10/H10,0)*H10</f>
        <v>1020</v>
      </c>
      <c r="J10" s="19" t="n">
        <f aca="false">I10/H10</f>
        <v>102</v>
      </c>
      <c r="K10" s="16" t="n">
        <f aca="false">IFERROR(INDEX(Rates!$E$5:$E$84,MATCH(A10,Rates!$A$5:$A$84,0)),0)</f>
        <v>262</v>
      </c>
      <c r="L10" s="7" t="n">
        <f aca="false">I10*K10</f>
        <v>267240</v>
      </c>
      <c r="M10" s="6" t="str">
        <f aca="false">IF(A10="BRK",ROUNDUP(I10/2000,0),IF(OR(A10="SNDC",A10="SNDM",A10="CRS",A10="KHG",A10="EARTH"),ROUNDUP(I10/100,0),""))</f>
        <v/>
      </c>
      <c r="N10" s="14" t="str">
        <f aca="false">INDEX(Rates!$J$5:$J$84,MATCH(A10,Rates!$A$5:$A$84,0))</f>
        <v>Steel</v>
      </c>
    </row>
    <row r="11" customFormat="false" ht="15" hidden="false" customHeight="false" outlineLevel="0" collapsed="false">
      <c r="A11" s="6" t="s">
        <v>64</v>
      </c>
      <c r="B11" s="14" t="str">
        <f aca="false">INDEX(Rates!$B$5:$B$84,MATCH(A11,Rates!$A$5:$A$84,0))</f>
        <v>Binding wire, annealed 18 gauge</v>
      </c>
      <c r="C11" s="14" t="str">
        <f aca="false">INDEX(Rates!$C$5:$C$84,MATCH(A11,Rates!$A$5:$A$84,0))</f>
        <v>kg</v>
      </c>
      <c r="D11" s="12" t="n">
        <f aca="false">(F7+F8+F9+F10)*0.01</f>
        <v>73.63599048</v>
      </c>
      <c r="E11" s="15" t="n">
        <f aca="false">IFERROR(INDEX(Rates!$D$5:$D$84,MATCH(A11,Rates!$A$5:$A$84,0)),0)</f>
        <v>0</v>
      </c>
      <c r="F11" s="12" t="n">
        <f aca="false">D11*(1+E11)</f>
        <v>73.63599048</v>
      </c>
      <c r="G11" s="14" t="str">
        <f aca="false">INDEX(Rates!$F$5:$F$84,MATCH(A11,Rates!$A$5:$A$84,0))</f>
        <v>5 kg</v>
      </c>
      <c r="H11" s="14" t="n">
        <f aca="false">INDEX(Rates!$G$5:$G$84,MATCH(A11,Rates!$A$5:$A$84,0))</f>
        <v>5</v>
      </c>
      <c r="I11" s="12" t="n">
        <f aca="false">ROUNDUP(F11/H11,0)*H11</f>
        <v>75</v>
      </c>
      <c r="J11" s="19" t="n">
        <f aca="false">I11/H11</f>
        <v>15</v>
      </c>
      <c r="K11" s="16" t="n">
        <f aca="false">IFERROR(INDEX(Rates!$E$5:$E$84,MATCH(A11,Rates!$A$5:$A$84,0)),0)</f>
        <v>400</v>
      </c>
      <c r="L11" s="7" t="n">
        <f aca="false">I11*K11</f>
        <v>30000</v>
      </c>
      <c r="M11" s="6" t="str">
        <f aca="false">IF(A11="BRK",ROUNDUP(I11/2000,0),IF(OR(A11="SNDC",A11="SNDM",A11="CRS",A11="KHG",A11="EARTH"),ROUNDUP(I11/100,0),""))</f>
        <v/>
      </c>
      <c r="N11" s="14" t="str">
        <f aca="false">INDEX(Rates!$J$5:$J$84,MATCH(A11,Rates!$A$5:$A$84,0))</f>
        <v>Steel</v>
      </c>
    </row>
    <row r="12" customFormat="false" ht="15" hidden="false" customHeight="false" outlineLevel="0" collapsed="false">
      <c r="A12" s="6" t="s">
        <v>69</v>
      </c>
      <c r="B12" s="14" t="str">
        <f aca="false">INDEX(Rates!$B$5:$B$84,MATCH(A12,Rates!$A$5:$A$84,0))</f>
        <v>Chenab sand (concrete, screed)</v>
      </c>
      <c r="C12" s="14" t="str">
        <f aca="false">INDEX(Rates!$C$5:$C$84,MATCH(A12,Rates!$A$5:$A$84,0))</f>
        <v>cft</v>
      </c>
      <c r="D12" s="12" t="n">
        <f aca="false">SUMIF(BOQ!$M$5:$M$452,A12,BOQ!$O$5:$O$452)</f>
        <v>2332.4668</v>
      </c>
      <c r="E12" s="15" t="n">
        <f aca="false">IFERROR(INDEX(Rates!$D$5:$D$84,MATCH(A12,Rates!$A$5:$A$84,0)),0)</f>
        <v>0.08</v>
      </c>
      <c r="F12" s="12" t="n">
        <f aca="false">D12*(1+E12)</f>
        <v>2519.064144</v>
      </c>
      <c r="G12" s="14" t="str">
        <f aca="false">INDEX(Rates!$F$5:$F$84,MATCH(A12,Rates!$A$5:$A$84,0))</f>
        <v>50 cft</v>
      </c>
      <c r="H12" s="14" t="n">
        <f aca="false">INDEX(Rates!$G$5:$G$84,MATCH(A12,Rates!$A$5:$A$84,0))</f>
        <v>50</v>
      </c>
      <c r="I12" s="12" t="n">
        <f aca="false">ROUNDUP(F12/H12,0)*H12</f>
        <v>2550</v>
      </c>
      <c r="J12" s="19" t="n">
        <f aca="false">I12/H12</f>
        <v>51</v>
      </c>
      <c r="K12" s="16" t="n">
        <f aca="false">IFERROR(INDEX(Rates!$E$5:$E$84,MATCH(A12,Rates!$A$5:$A$84,0)),0)</f>
        <v>65</v>
      </c>
      <c r="L12" s="7" t="n">
        <f aca="false">I12*K12</f>
        <v>165750</v>
      </c>
      <c r="M12" s="6" t="n">
        <f aca="false">IF(A12="BRK",ROUNDUP(I12/2000,0),IF(OR(A12="SNDC",A12="SNDM",A12="CRS",A12="KHG",A12="EARTH"),ROUNDUP(I12/100,0),""))</f>
        <v>26</v>
      </c>
      <c r="N12" s="14" t="str">
        <f aca="false">INDEX(Rates!$J$5:$J$84,MATCH(A12,Rates!$A$5:$A$84,0))</f>
        <v>Sand</v>
      </c>
    </row>
    <row r="13" customFormat="false" ht="15" hidden="false" customHeight="false" outlineLevel="0" collapsed="false">
      <c r="A13" s="6" t="s">
        <v>76</v>
      </c>
      <c r="B13" s="14" t="str">
        <f aca="false">INDEX(Rates!$B$5:$B$84,MATCH(A13,Rates!$A$5:$A$84,0))</f>
        <v>Ravi sand (mortar, plaster, blinding, fill)</v>
      </c>
      <c r="C13" s="14" t="str">
        <f aca="false">INDEX(Rates!$C$5:$C$84,MATCH(A13,Rates!$A$5:$A$84,0))</f>
        <v>cft</v>
      </c>
      <c r="D13" s="12" t="n">
        <f aca="false">SUMIF(BOQ!$M$5:$M$452,A13,BOQ!$O$5:$O$452)</f>
        <v>4960.4088</v>
      </c>
      <c r="E13" s="15" t="n">
        <f aca="false">IFERROR(INDEX(Rates!$D$5:$D$84,MATCH(A13,Rates!$A$5:$A$84,0)),0)</f>
        <v>0.08</v>
      </c>
      <c r="F13" s="12" t="n">
        <f aca="false">D13*(1+E13)</f>
        <v>5357.241504</v>
      </c>
      <c r="G13" s="14" t="str">
        <f aca="false">INDEX(Rates!$F$5:$F$84,MATCH(A13,Rates!$A$5:$A$84,0))</f>
        <v>50 cft</v>
      </c>
      <c r="H13" s="14" t="n">
        <f aca="false">INDEX(Rates!$G$5:$G$84,MATCH(A13,Rates!$A$5:$A$84,0))</f>
        <v>50</v>
      </c>
      <c r="I13" s="12" t="n">
        <f aca="false">ROUNDUP(F13/H13,0)*H13</f>
        <v>5400</v>
      </c>
      <c r="J13" s="19" t="n">
        <f aca="false">I13/H13</f>
        <v>108</v>
      </c>
      <c r="K13" s="16" t="n">
        <f aca="false">IFERROR(INDEX(Rates!$E$5:$E$84,MATCH(A13,Rates!$A$5:$A$84,0)),0)</f>
        <v>40</v>
      </c>
      <c r="L13" s="7" t="n">
        <f aca="false">I13*K13</f>
        <v>216000</v>
      </c>
      <c r="M13" s="6" t="n">
        <f aca="false">IF(A13="BRK",ROUNDUP(I13/2000,0),IF(OR(A13="SNDC",A13="SNDM",A13="CRS",A13="KHG",A13="EARTH"),ROUNDUP(I13/100,0),""))</f>
        <v>54</v>
      </c>
      <c r="N13" s="14" t="str">
        <f aca="false">INDEX(Rates!$J$5:$J$84,MATCH(A13,Rates!$A$5:$A$84,0))</f>
        <v>Sand</v>
      </c>
    </row>
    <row r="14" customFormat="false" ht="15" hidden="false" customHeight="false" outlineLevel="0" collapsed="false">
      <c r="A14" s="6" t="s">
        <v>79</v>
      </c>
      <c r="B14" s="14" t="str">
        <f aca="false">INDEX(Rates!$B$5:$B$84,MATCH(A14,Rates!$A$5:$A$84,0))</f>
        <v>Crush ¾" down, Sargodha (bajri)</v>
      </c>
      <c r="C14" s="14" t="str">
        <f aca="false">INDEX(Rates!$C$5:$C$84,MATCH(A14,Rates!$A$5:$A$84,0))</f>
        <v>cft</v>
      </c>
      <c r="D14" s="12" t="n">
        <f aca="false">SUMIF(BOQ!$M$5:$M$452,A14,BOQ!$O$5:$O$452)</f>
        <v>3801.3592</v>
      </c>
      <c r="E14" s="15" t="n">
        <f aca="false">IFERROR(INDEX(Rates!$D$5:$D$84,MATCH(A14,Rates!$A$5:$A$84,0)),0)</f>
        <v>0.05</v>
      </c>
      <c r="F14" s="12" t="n">
        <f aca="false">D14*(1+E14)</f>
        <v>3991.42716</v>
      </c>
      <c r="G14" s="14" t="str">
        <f aca="false">INDEX(Rates!$F$5:$F$84,MATCH(A14,Rates!$A$5:$A$84,0))</f>
        <v>50 cft</v>
      </c>
      <c r="H14" s="14" t="n">
        <f aca="false">INDEX(Rates!$G$5:$G$84,MATCH(A14,Rates!$A$5:$A$84,0))</f>
        <v>50</v>
      </c>
      <c r="I14" s="12" t="n">
        <f aca="false">ROUNDUP(F14/H14,0)*H14</f>
        <v>4000</v>
      </c>
      <c r="J14" s="19" t="n">
        <f aca="false">I14/H14</f>
        <v>80</v>
      </c>
      <c r="K14" s="16" t="n">
        <f aca="false">IFERROR(INDEX(Rates!$E$5:$E$84,MATCH(A14,Rates!$A$5:$A$84,0)),0)</f>
        <v>110</v>
      </c>
      <c r="L14" s="7" t="n">
        <f aca="false">I14*K14</f>
        <v>440000</v>
      </c>
      <c r="M14" s="6" t="n">
        <f aca="false">IF(A14="BRK",ROUNDUP(I14/2000,0),IF(OR(A14="SNDC",A14="SNDM",A14="CRS",A14="KHG",A14="EARTH"),ROUNDUP(I14/100,0),""))</f>
        <v>40</v>
      </c>
      <c r="N14" s="14" t="str">
        <f aca="false">INDEX(Rates!$J$5:$J$84,MATCH(A14,Rates!$A$5:$A$84,0))</f>
        <v>Crush</v>
      </c>
    </row>
    <row r="15" customFormat="false" ht="15" hidden="false" customHeight="false" outlineLevel="0" collapsed="false">
      <c r="A15" s="6" t="s">
        <v>83</v>
      </c>
      <c r="B15" s="14" t="str">
        <f aca="false">INDEX(Rates!$B$5:$B$84,MATCH(A15,Rates!$A$5:$A$84,0))</f>
        <v>Stone ballast (khangar) 1½"-2½"</v>
      </c>
      <c r="C15" s="14" t="str">
        <f aca="false">INDEX(Rates!$C$5:$C$84,MATCH(A15,Rates!$A$5:$A$84,0))</f>
        <v>cft</v>
      </c>
      <c r="D15" s="12" t="n">
        <f aca="false">SUMIF(BOQ!$M$5:$M$452,A15,BOQ!$O$5:$O$452)</f>
        <v>665.0558</v>
      </c>
      <c r="E15" s="15" t="n">
        <f aca="false">IFERROR(INDEX(Rates!$D$5:$D$84,MATCH(A15,Rates!$A$5:$A$84,0)),0)</f>
        <v>0.05</v>
      </c>
      <c r="F15" s="12" t="n">
        <f aca="false">D15*(1+E15)</f>
        <v>698.30859</v>
      </c>
      <c r="G15" s="14" t="str">
        <f aca="false">INDEX(Rates!$F$5:$F$84,MATCH(A15,Rates!$A$5:$A$84,0))</f>
        <v>50 cft</v>
      </c>
      <c r="H15" s="14" t="n">
        <f aca="false">INDEX(Rates!$G$5:$G$84,MATCH(A15,Rates!$A$5:$A$84,0))</f>
        <v>50</v>
      </c>
      <c r="I15" s="12" t="n">
        <f aca="false">ROUNDUP(F15/H15,0)*H15</f>
        <v>700</v>
      </c>
      <c r="J15" s="19" t="n">
        <f aca="false">I15/H15</f>
        <v>14</v>
      </c>
      <c r="K15" s="16" t="n">
        <f aca="false">IFERROR(INDEX(Rates!$E$5:$E$84,MATCH(A15,Rates!$A$5:$A$84,0)),0)</f>
        <v>90</v>
      </c>
      <c r="L15" s="7" t="n">
        <f aca="false">I15*K15</f>
        <v>63000</v>
      </c>
      <c r="M15" s="6" t="n">
        <f aca="false">IF(A15="BRK",ROUNDUP(I15/2000,0),IF(OR(A15="SNDC",A15="SNDM",A15="CRS",A15="KHG",A15="EARTH"),ROUNDUP(I15/100,0),""))</f>
        <v>7</v>
      </c>
      <c r="N15" s="14" t="str">
        <f aca="false">INDEX(Rates!$J$5:$J$84,MATCH(A15,Rates!$A$5:$A$84,0))</f>
        <v>Stone ballast</v>
      </c>
    </row>
    <row r="16" customFormat="false" ht="15" hidden="false" customHeight="false" outlineLevel="0" collapsed="false">
      <c r="A16" s="6" t="s">
        <v>86</v>
      </c>
      <c r="B16" s="14" t="str">
        <f aca="false">INDEX(Rates!$B$5:$B$84,MATCH(A16,Rates!$A$5:$A$84,0))</f>
        <v>Earth (mitti) for filling, delivered</v>
      </c>
      <c r="C16" s="14" t="str">
        <f aca="false">INDEX(Rates!$C$5:$C$84,MATCH(A16,Rates!$A$5:$A$84,0))</f>
        <v>cft</v>
      </c>
      <c r="D16" s="12" t="n">
        <f aca="false">SUMIF(BOQ!$M$5:$M$452,A16,BOQ!$O$5:$O$452)</f>
        <v>4184.79925</v>
      </c>
      <c r="E16" s="15" t="n">
        <f aca="false">IFERROR(INDEX(Rates!$D$5:$D$84,MATCH(A16,Rates!$A$5:$A$84,0)),0)</f>
        <v>0</v>
      </c>
      <c r="F16" s="12" t="n">
        <f aca="false">D16*(1+E16)</f>
        <v>4184.79925</v>
      </c>
      <c r="G16" s="14" t="str">
        <f aca="false">INDEX(Rates!$F$5:$F$84,MATCH(A16,Rates!$A$5:$A$84,0))</f>
        <v>50 cft</v>
      </c>
      <c r="H16" s="14" t="n">
        <f aca="false">INDEX(Rates!$G$5:$G$84,MATCH(A16,Rates!$A$5:$A$84,0))</f>
        <v>50</v>
      </c>
      <c r="I16" s="12" t="n">
        <f aca="false">ROUNDUP(F16/H16,0)*H16</f>
        <v>4200</v>
      </c>
      <c r="J16" s="19" t="n">
        <f aca="false">I16/H16</f>
        <v>84</v>
      </c>
      <c r="K16" s="16" t="n">
        <f aca="false">IFERROR(INDEX(Rates!$E$5:$E$84,MATCH(A16,Rates!$A$5:$A$84,0)),0)</f>
        <v>25</v>
      </c>
      <c r="L16" s="7" t="n">
        <f aca="false">I16*K16</f>
        <v>105000</v>
      </c>
      <c r="M16" s="6" t="n">
        <f aca="false">IF(A16="BRK",ROUNDUP(I16/2000,0),IF(OR(A16="SNDC",A16="SNDM",A16="CRS",A16="KHG",A16="EARTH"),ROUNDUP(I16/100,0),""))</f>
        <v>42</v>
      </c>
      <c r="N16" s="14" t="str">
        <f aca="false">INDEX(Rates!$J$5:$J$84,MATCH(A16,Rates!$A$5:$A$84,0))</f>
        <v>Earth</v>
      </c>
    </row>
    <row r="17" customFormat="false" ht="15" hidden="false" customHeight="false" outlineLevel="0" collapsed="false">
      <c r="A17" s="6" t="s">
        <v>90</v>
      </c>
      <c r="B17" s="14" t="str">
        <f aca="false">INDEX(Rates!$B$5:$B$84,MATCH(A17,Rates!$A$5:$A$84,0))</f>
        <v>Polythene sheet 0.2 mm (800 gauge)</v>
      </c>
      <c r="C17" s="14" t="str">
        <f aca="false">INDEX(Rates!$C$5:$C$84,MATCH(A17,Rates!$A$5:$A$84,0))</f>
        <v>kg</v>
      </c>
      <c r="D17" s="12" t="n">
        <f aca="false">SUMIF(BOQ!$M$5:$M$452,A17,BOQ!$O$5:$O$452)</f>
        <v>37.3677</v>
      </c>
      <c r="E17" s="15" t="n">
        <f aca="false">IFERROR(INDEX(Rates!$D$5:$D$84,MATCH(A17,Rates!$A$5:$A$84,0)),0)</f>
        <v>0.05</v>
      </c>
      <c r="F17" s="12" t="n">
        <f aca="false">D17*(1+E17)</f>
        <v>39.236085</v>
      </c>
      <c r="G17" s="14" t="str">
        <f aca="false">INDEX(Rates!$F$5:$F$84,MATCH(A17,Rates!$A$5:$A$84,0))</f>
        <v>kg</v>
      </c>
      <c r="H17" s="14" t="n">
        <f aca="false">INDEX(Rates!$G$5:$G$84,MATCH(A17,Rates!$A$5:$A$84,0))</f>
        <v>1</v>
      </c>
      <c r="I17" s="12" t="n">
        <f aca="false">ROUNDUP(F17/H17,0)*H17</f>
        <v>40</v>
      </c>
      <c r="J17" s="19" t="n">
        <f aca="false">I17/H17</f>
        <v>40</v>
      </c>
      <c r="K17" s="16" t="n">
        <f aca="false">IFERROR(INDEX(Rates!$E$5:$E$84,MATCH(A17,Rates!$A$5:$A$84,0)),0)</f>
        <v>550</v>
      </c>
      <c r="L17" s="7" t="n">
        <f aca="false">I17*K17</f>
        <v>22000</v>
      </c>
      <c r="M17" s="6" t="str">
        <f aca="false">IF(A17="BRK",ROUNDUP(I17/2000,0),IF(OR(A17="SNDC",A17="SNDM",A17="CRS",A17="KHG",A17="EARTH"),ROUNDUP(I17/100,0),""))</f>
        <v/>
      </c>
      <c r="N17" s="14" t="str">
        <f aca="false">INDEX(Rates!$J$5:$J$84,MATCH(A17,Rates!$A$5:$A$84,0))</f>
        <v>Waterproofing</v>
      </c>
    </row>
    <row r="18" customFormat="false" ht="15" hidden="false" customHeight="false" outlineLevel="0" collapsed="false">
      <c r="A18" s="6" t="s">
        <v>93</v>
      </c>
      <c r="B18" s="14" t="str">
        <f aca="false">INDEX(Rates!$B$5:$B$84,MATCH(A18,Rates!$A$5:$A$84,0))</f>
        <v>Hot bitumen 60/70 (drum)</v>
      </c>
      <c r="C18" s="14" t="str">
        <f aca="false">INDEX(Rates!$C$5:$C$84,MATCH(A18,Rates!$A$5:$A$84,0))</f>
        <v>kg</v>
      </c>
      <c r="D18" s="12" t="n">
        <f aca="false">SUMIF(BOQ!$M$5:$M$452,A18,BOQ!$O$5:$O$452)</f>
        <v>472.3428</v>
      </c>
      <c r="E18" s="15" t="n">
        <f aca="false">IFERROR(INDEX(Rates!$D$5:$D$84,MATCH(A18,Rates!$A$5:$A$84,0)),0)</f>
        <v>0.05</v>
      </c>
      <c r="F18" s="12" t="n">
        <f aca="false">D18*(1+E18)</f>
        <v>495.95994</v>
      </c>
      <c r="G18" s="14" t="str">
        <f aca="false">INDEX(Rates!$F$5:$F$84,MATCH(A18,Rates!$A$5:$A$84,0))</f>
        <v>10 kg</v>
      </c>
      <c r="H18" s="14" t="n">
        <f aca="false">INDEX(Rates!$G$5:$G$84,MATCH(A18,Rates!$A$5:$A$84,0))</f>
        <v>10</v>
      </c>
      <c r="I18" s="12" t="n">
        <f aca="false">ROUNDUP(F18/H18,0)*H18</f>
        <v>500</v>
      </c>
      <c r="J18" s="19" t="n">
        <f aca="false">I18/H18</f>
        <v>50</v>
      </c>
      <c r="K18" s="16" t="n">
        <f aca="false">IFERROR(INDEX(Rates!$E$5:$E$84,MATCH(A18,Rates!$A$5:$A$84,0)),0)</f>
        <v>280</v>
      </c>
      <c r="L18" s="7" t="n">
        <f aca="false">I18*K18</f>
        <v>140000</v>
      </c>
      <c r="M18" s="6" t="str">
        <f aca="false">IF(A18="BRK",ROUNDUP(I18/2000,0),IF(OR(A18="SNDC",A18="SNDM",A18="CRS",A18="KHG",A18="EARTH"),ROUNDUP(I18/100,0),""))</f>
        <v/>
      </c>
      <c r="N18" s="14" t="str">
        <f aca="false">INDEX(Rates!$J$5:$J$84,MATCH(A18,Rates!$A$5:$A$84,0))</f>
        <v>Waterproofing</v>
      </c>
    </row>
    <row r="19" customFormat="false" ht="15" hidden="false" customHeight="false" outlineLevel="0" collapsed="false">
      <c r="A19" s="6" t="s">
        <v>97</v>
      </c>
      <c r="B19" s="14" t="str">
        <f aca="false">INDEX(Rates!$B$5:$B$84,MATCH(A19,Rates!$A$5:$A$84,0))</f>
        <v>Integral waterproofing compound (powder), 1 kg per bag of cement</v>
      </c>
      <c r="C19" s="14" t="str">
        <f aca="false">INDEX(Rates!$C$5:$C$84,MATCH(A19,Rates!$A$5:$A$84,0))</f>
        <v>kg</v>
      </c>
      <c r="D19" s="12" t="n">
        <f aca="false">SUMIF(BOQ!$M$5:$M$452,A19,BOQ!$O$5:$O$452)</f>
        <v>47.0705</v>
      </c>
      <c r="E19" s="15" t="n">
        <f aca="false">IFERROR(INDEX(Rates!$D$5:$D$84,MATCH(A19,Rates!$A$5:$A$84,0)),0)</f>
        <v>0</v>
      </c>
      <c r="F19" s="12" t="n">
        <f aca="false">D19*(1+E19)</f>
        <v>47.0705</v>
      </c>
      <c r="G19" s="14" t="str">
        <f aca="false">INDEX(Rates!$F$5:$F$84,MATCH(A19,Rates!$A$5:$A$84,0))</f>
        <v>kg</v>
      </c>
      <c r="H19" s="14" t="n">
        <f aca="false">INDEX(Rates!$G$5:$G$84,MATCH(A19,Rates!$A$5:$A$84,0))</f>
        <v>1</v>
      </c>
      <c r="I19" s="12" t="n">
        <f aca="false">ROUNDUP(F19/H19,0)*H19</f>
        <v>48</v>
      </c>
      <c r="J19" s="19" t="n">
        <f aca="false">I19/H19</f>
        <v>48</v>
      </c>
      <c r="K19" s="16" t="n">
        <f aca="false">IFERROR(INDEX(Rates!$E$5:$E$84,MATCH(A19,Rates!$A$5:$A$84,0)),0)</f>
        <v>350</v>
      </c>
      <c r="L19" s="7" t="n">
        <f aca="false">I19*K19</f>
        <v>16800</v>
      </c>
      <c r="M19" s="6" t="str">
        <f aca="false">IF(A19="BRK",ROUNDUP(I19/2000,0),IF(OR(A19="SNDC",A19="SNDM",A19="CRS",A19="KHG",A19="EARTH"),ROUNDUP(I19/100,0),""))</f>
        <v/>
      </c>
      <c r="N19" s="14" t="str">
        <f aca="false">INDEX(Rates!$J$5:$J$84,MATCH(A19,Rates!$A$5:$A$84,0))</f>
        <v>Waterproofing</v>
      </c>
    </row>
    <row r="20" customFormat="false" ht="15" hidden="false" customHeight="false" outlineLevel="0" collapsed="false">
      <c r="A20" s="6" t="s">
        <v>99</v>
      </c>
      <c r="B20" s="14" t="str">
        <f aca="false">INDEX(Rates!$B$5:$B$84,MATCH(A20,Rates!$A$5:$A$84,0))</f>
        <v>Bitumen primer</v>
      </c>
      <c r="C20" s="14" t="str">
        <f aca="false">INDEX(Rates!$C$5:$C$84,MATCH(A20,Rates!$A$5:$A$84,0))</f>
        <v>L</v>
      </c>
      <c r="D20" s="12" t="n">
        <f aca="false">SUMIF(BOQ!$M$5:$M$452,A20,BOQ!$O$5:$O$452)</f>
        <v>62.8872</v>
      </c>
      <c r="E20" s="15" t="n">
        <f aca="false">IFERROR(INDEX(Rates!$D$5:$D$84,MATCH(A20,Rates!$A$5:$A$84,0)),0)</f>
        <v>0.05</v>
      </c>
      <c r="F20" s="12" t="n">
        <f aca="false">D20*(1+E20)</f>
        <v>66.03156</v>
      </c>
      <c r="G20" s="14" t="str">
        <f aca="false">INDEX(Rates!$F$5:$F$84,MATCH(A20,Rates!$A$5:$A$84,0))</f>
        <v>4 L tin</v>
      </c>
      <c r="H20" s="14" t="n">
        <f aca="false">INDEX(Rates!$G$5:$G$84,MATCH(A20,Rates!$A$5:$A$84,0))</f>
        <v>4</v>
      </c>
      <c r="I20" s="12" t="n">
        <f aca="false">ROUNDUP(F20/H20,0)*H20</f>
        <v>68</v>
      </c>
      <c r="J20" s="19" t="n">
        <f aca="false">I20/H20</f>
        <v>17</v>
      </c>
      <c r="K20" s="16" t="n">
        <f aca="false">IFERROR(INDEX(Rates!$E$5:$E$84,MATCH(A20,Rates!$A$5:$A$84,0)),0)</f>
        <v>900</v>
      </c>
      <c r="L20" s="7" t="n">
        <f aca="false">I20*K20</f>
        <v>61200</v>
      </c>
      <c r="M20" s="6" t="str">
        <f aca="false">IF(A20="BRK",ROUNDUP(I20/2000,0),IF(OR(A20="SNDC",A20="SNDM",A20="CRS",A20="KHG",A20="EARTH"),ROUNDUP(I20/100,0),""))</f>
        <v/>
      </c>
      <c r="N20" s="14" t="str">
        <f aca="false">INDEX(Rates!$J$5:$J$84,MATCH(A20,Rates!$A$5:$A$84,0))</f>
        <v>Waterproofing</v>
      </c>
    </row>
    <row r="21" customFormat="false" ht="15" hidden="false" customHeight="false" outlineLevel="0" collapsed="false">
      <c r="A21" s="6" t="s">
        <v>103</v>
      </c>
      <c r="B21" s="14" t="str">
        <f aca="false">INDEX(Rates!$B$5:$B$84,MATCH(A21,Rates!$A$5:$A$84,0))</f>
        <v>4 mm APP/SBS modified-bitumen membrane (1 m x 10 m roll)</v>
      </c>
      <c r="C21" s="14" t="str">
        <f aca="false">INDEX(Rates!$C$5:$C$84,MATCH(A21,Rates!$A$5:$A$84,0))</f>
        <v>m2</v>
      </c>
      <c r="D21" s="12" t="n">
        <f aca="false">SUMIF(BOQ!$M$5:$M$452,A21,BOQ!$O$5:$O$452)</f>
        <v>209.6239</v>
      </c>
      <c r="E21" s="15" t="n">
        <f aca="false">IFERROR(INDEX(Rates!$D$5:$D$84,MATCH(A21,Rates!$A$5:$A$84,0)),0)</f>
        <v>0.05</v>
      </c>
      <c r="F21" s="12" t="n">
        <f aca="false">D21*(1+E21)</f>
        <v>220.105095</v>
      </c>
      <c r="G21" s="14" t="str">
        <f aca="false">INDEX(Rates!$F$5:$F$84,MATCH(A21,Rates!$A$5:$A$84,0))</f>
        <v>roll (10 m2)</v>
      </c>
      <c r="H21" s="14" t="n">
        <f aca="false">INDEX(Rates!$G$5:$G$84,MATCH(A21,Rates!$A$5:$A$84,0))</f>
        <v>10</v>
      </c>
      <c r="I21" s="12" t="n">
        <f aca="false">ROUNDUP(F21/H21,0)*H21</f>
        <v>230</v>
      </c>
      <c r="J21" s="19" t="n">
        <f aca="false">I21/H21</f>
        <v>23</v>
      </c>
      <c r="K21" s="16" t="n">
        <f aca="false">IFERROR(INDEX(Rates!$E$5:$E$84,MATCH(A21,Rates!$A$5:$A$84,0)),0)</f>
        <v>700</v>
      </c>
      <c r="L21" s="7" t="n">
        <f aca="false">I21*K21</f>
        <v>161000</v>
      </c>
      <c r="M21" s="6" t="str">
        <f aca="false">IF(A21="BRK",ROUNDUP(I21/2000,0),IF(OR(A21="SNDC",A21="SNDM",A21="CRS",A21="KHG",A21="EARTH"),ROUNDUP(I21/100,0),""))</f>
        <v/>
      </c>
      <c r="N21" s="14" t="str">
        <f aca="false">INDEX(Rates!$J$5:$J$84,MATCH(A21,Rates!$A$5:$A$84,0))</f>
        <v>Waterproofing</v>
      </c>
    </row>
    <row r="22" customFormat="false" ht="15" hidden="false" customHeight="false" outlineLevel="0" collapsed="false">
      <c r="A22" s="6" t="s">
        <v>108</v>
      </c>
      <c r="B22" s="14" t="str">
        <f aca="false">INDEX(Rates!$B$5:$B$84,MATCH(A22,Rates!$A$5:$A$84,0))</f>
        <v>LPG for torching (11.8 kg cylinder)</v>
      </c>
      <c r="C22" s="14" t="str">
        <f aca="false">INDEX(Rates!$C$5:$C$84,MATCH(A22,Rates!$A$5:$A$84,0))</f>
        <v>kg</v>
      </c>
      <c r="D22" s="12" t="n">
        <f aca="false">SUMIF(BOQ!$M$5:$M$452,A22,BOQ!$O$5:$O$452)</f>
        <v>83.8496</v>
      </c>
      <c r="E22" s="15" t="n">
        <f aca="false">IFERROR(INDEX(Rates!$D$5:$D$84,MATCH(A22,Rates!$A$5:$A$84,0)),0)</f>
        <v>0</v>
      </c>
      <c r="F22" s="12" t="n">
        <f aca="false">D22*(1+E22)</f>
        <v>83.8496</v>
      </c>
      <c r="G22" s="14" t="str">
        <f aca="false">INDEX(Rates!$F$5:$F$84,MATCH(A22,Rates!$A$5:$A$84,0))</f>
        <v>cylinder (11.8 kg)</v>
      </c>
      <c r="H22" s="14" t="n">
        <f aca="false">INDEX(Rates!$G$5:$G$84,MATCH(A22,Rates!$A$5:$A$84,0))</f>
        <v>11.8</v>
      </c>
      <c r="I22" s="12" t="n">
        <f aca="false">ROUNDUP(F22/H22,0)*H22</f>
        <v>94.4</v>
      </c>
      <c r="J22" s="19" t="n">
        <f aca="false">I22/H22</f>
        <v>8</v>
      </c>
      <c r="K22" s="16" t="n">
        <f aca="false">IFERROR(INDEX(Rates!$E$5:$E$84,MATCH(A22,Rates!$A$5:$A$84,0)),0)</f>
        <v>300</v>
      </c>
      <c r="L22" s="7" t="n">
        <f aca="false">I22*K22</f>
        <v>28320</v>
      </c>
      <c r="M22" s="6" t="str">
        <f aca="false">IF(A22="BRK",ROUNDUP(I22/2000,0),IF(OR(A22="SNDC",A22="SNDM",A22="CRS",A22="KHG",A22="EARTH"),ROUNDUP(I22/100,0),""))</f>
        <v/>
      </c>
      <c r="N22" s="14" t="str">
        <f aca="false">INDEX(Rates!$J$5:$J$84,MATCH(A22,Rates!$A$5:$A$84,0))</f>
        <v>Waterproofing</v>
      </c>
    </row>
    <row r="23" customFormat="false" ht="15" hidden="false" customHeight="false" outlineLevel="0" collapsed="false">
      <c r="A23" s="6" t="s">
        <v>112</v>
      </c>
      <c r="B23" s="14" t="str">
        <f aca="false">INDEX(Rates!$B$5:$B$84,MATCH(A23,Rates!$A$5:$A$84,0))</f>
        <v>Polymer-modified cementitious waterproof coating (2-component)</v>
      </c>
      <c r="C23" s="14" t="str">
        <f aca="false">INDEX(Rates!$C$5:$C$84,MATCH(A23,Rates!$A$5:$A$84,0))</f>
        <v>kg</v>
      </c>
      <c r="D23" s="12" t="n">
        <f aca="false">SUMIF(BOQ!$M$5:$M$452,A23,BOQ!$O$5:$O$452)</f>
        <v>68.7715</v>
      </c>
      <c r="E23" s="15" t="n">
        <f aca="false">IFERROR(INDEX(Rates!$D$5:$D$84,MATCH(A23,Rates!$A$5:$A$84,0)),0)</f>
        <v>0.05</v>
      </c>
      <c r="F23" s="12" t="n">
        <f aca="false">D23*(1+E23)</f>
        <v>72.210075</v>
      </c>
      <c r="G23" s="14" t="str">
        <f aca="false">INDEX(Rates!$F$5:$F$84,MATCH(A23,Rates!$A$5:$A$84,0))</f>
        <v>5 kg</v>
      </c>
      <c r="H23" s="14" t="n">
        <f aca="false">INDEX(Rates!$G$5:$G$84,MATCH(A23,Rates!$A$5:$A$84,0))</f>
        <v>5</v>
      </c>
      <c r="I23" s="12" t="n">
        <f aca="false">ROUNDUP(F23/H23,0)*H23</f>
        <v>75</v>
      </c>
      <c r="J23" s="19" t="n">
        <f aca="false">I23/H23</f>
        <v>15</v>
      </c>
      <c r="K23" s="16" t="n">
        <f aca="false">IFERROR(INDEX(Rates!$E$5:$E$84,MATCH(A23,Rates!$A$5:$A$84,0)),0)</f>
        <v>450</v>
      </c>
      <c r="L23" s="7" t="n">
        <f aca="false">I23*K23</f>
        <v>33750</v>
      </c>
      <c r="M23" s="6" t="str">
        <f aca="false">IF(A23="BRK",ROUNDUP(I23/2000,0),IF(OR(A23="SNDC",A23="SNDM",A23="CRS",A23="KHG",A23="EARTH"),ROUNDUP(I23/100,0),""))</f>
        <v/>
      </c>
      <c r="N23" s="14" t="str">
        <f aca="false">INDEX(Rates!$J$5:$J$84,MATCH(A23,Rates!$A$5:$A$84,0))</f>
        <v>Waterproofing</v>
      </c>
    </row>
    <row r="24" customFormat="false" ht="15" hidden="false" customHeight="false" outlineLevel="0" collapsed="false">
      <c r="A24" s="6" t="s">
        <v>114</v>
      </c>
      <c r="B24" s="14" t="str">
        <f aca="false">INDEX(Rates!$B$5:$B$84,MATCH(A24,Rates!$A$5:$A$84,0))</f>
        <v>Food-safe (potable-water) cementitious coating</v>
      </c>
      <c r="C24" s="14" t="str">
        <f aca="false">INDEX(Rates!$C$5:$C$84,MATCH(A24,Rates!$A$5:$A$84,0))</f>
        <v>kg</v>
      </c>
      <c r="D24" s="12" t="n">
        <f aca="false">SUMIF(BOQ!$M$5:$M$452,A24,BOQ!$O$5:$O$452)</f>
        <v>34.4983</v>
      </c>
      <c r="E24" s="15" t="n">
        <f aca="false">IFERROR(INDEX(Rates!$D$5:$D$84,MATCH(A24,Rates!$A$5:$A$84,0)),0)</f>
        <v>0.05</v>
      </c>
      <c r="F24" s="12" t="n">
        <f aca="false">D24*(1+E24)</f>
        <v>36.223215</v>
      </c>
      <c r="G24" s="14" t="str">
        <f aca="false">INDEX(Rates!$F$5:$F$84,MATCH(A24,Rates!$A$5:$A$84,0))</f>
        <v>5 kg</v>
      </c>
      <c r="H24" s="14" t="n">
        <f aca="false">INDEX(Rates!$G$5:$G$84,MATCH(A24,Rates!$A$5:$A$84,0))</f>
        <v>5</v>
      </c>
      <c r="I24" s="12" t="n">
        <f aca="false">ROUNDUP(F24/H24,0)*H24</f>
        <v>40</v>
      </c>
      <c r="J24" s="19" t="n">
        <f aca="false">I24/H24</f>
        <v>8</v>
      </c>
      <c r="K24" s="16" t="n">
        <f aca="false">IFERROR(INDEX(Rates!$E$5:$E$84,MATCH(A24,Rates!$A$5:$A$84,0)),0)</f>
        <v>550</v>
      </c>
      <c r="L24" s="7" t="n">
        <f aca="false">I24*K24</f>
        <v>22000</v>
      </c>
      <c r="M24" s="6" t="str">
        <f aca="false">IF(A24="BRK",ROUNDUP(I24/2000,0),IF(OR(A24="SNDC",A24="SNDM",A24="CRS",A24="KHG",A24="EARTH"),ROUNDUP(I24/100,0),""))</f>
        <v/>
      </c>
      <c r="N24" s="14" t="str">
        <f aca="false">INDEX(Rates!$J$5:$J$84,MATCH(A24,Rates!$A$5:$A$84,0))</f>
        <v>Waterproofing</v>
      </c>
    </row>
    <row r="25" customFormat="false" ht="15" hidden="false" customHeight="false" outlineLevel="0" collapsed="false">
      <c r="A25" s="6" t="s">
        <v>116</v>
      </c>
      <c r="B25" s="14" t="str">
        <f aca="false">INDEX(Rates!$B$5:$B$84,MATCH(A25,Rates!$A$5:$A$84,0))</f>
        <v>PVC water-stop 150 mm</v>
      </c>
      <c r="C25" s="14" t="str">
        <f aca="false">INDEX(Rates!$C$5:$C$84,MATCH(A25,Rates!$A$5:$A$84,0))</f>
        <v>ft</v>
      </c>
      <c r="D25" s="12" t="n">
        <f aca="false">SUMIF(BOQ!$M$5:$M$452,A25,BOQ!$O$5:$O$452)</f>
        <v>20</v>
      </c>
      <c r="E25" s="15" t="n">
        <f aca="false">IFERROR(INDEX(Rates!$D$5:$D$84,MATCH(A25,Rates!$A$5:$A$84,0)),0)</f>
        <v>0.05</v>
      </c>
      <c r="F25" s="12" t="n">
        <f aca="false">D25*(1+E25)</f>
        <v>21</v>
      </c>
      <c r="G25" s="14" t="str">
        <f aca="false">INDEX(Rates!$F$5:$F$84,MATCH(A25,Rates!$A$5:$A$84,0))</f>
        <v>ft</v>
      </c>
      <c r="H25" s="14" t="n">
        <f aca="false">INDEX(Rates!$G$5:$G$84,MATCH(A25,Rates!$A$5:$A$84,0))</f>
        <v>1</v>
      </c>
      <c r="I25" s="12" t="n">
        <f aca="false">ROUNDUP(F25/H25,0)*H25</f>
        <v>21</v>
      </c>
      <c r="J25" s="19" t="n">
        <f aca="false">I25/H25</f>
        <v>21</v>
      </c>
      <c r="K25" s="16" t="n">
        <f aca="false">IFERROR(INDEX(Rates!$E$5:$E$84,MATCH(A25,Rates!$A$5:$A$84,0)),0)</f>
        <v>650</v>
      </c>
      <c r="L25" s="7" t="n">
        <f aca="false">I25*K25</f>
        <v>13650</v>
      </c>
      <c r="M25" s="6" t="str">
        <f aca="false">IF(A25="BRK",ROUNDUP(I25/2000,0),IF(OR(A25="SNDC",A25="SNDM",A25="CRS",A25="KHG",A25="EARTH"),ROUNDUP(I25/100,0),""))</f>
        <v/>
      </c>
      <c r="N25" s="14" t="str">
        <f aca="false">INDEX(Rates!$J$5:$J$84,MATCH(A25,Rates!$A$5:$A$84,0))</f>
        <v>Waterproofing</v>
      </c>
    </row>
    <row r="26" customFormat="false" ht="15" hidden="false" customHeight="false" outlineLevel="0" collapsed="false">
      <c r="A26" s="6" t="s">
        <v>119</v>
      </c>
      <c r="B26" s="14" t="str">
        <f aca="false">INDEX(Rates!$B$5:$B$84,MATCH(A26,Rates!$A$5:$A$84,0))</f>
        <v>Termiticide: bifenthrin 10% EC (1 L makes 200 L emulsion)</v>
      </c>
      <c r="C26" s="14" t="str">
        <f aca="false">INDEX(Rates!$C$5:$C$84,MATCH(A26,Rates!$A$5:$A$84,0))</f>
        <v>L</v>
      </c>
      <c r="D26" s="12" t="n">
        <f aca="false">SUMIF(BOQ!$M$5:$M$452,A26,BOQ!$O$5:$O$452)</f>
        <v>11.2673</v>
      </c>
      <c r="E26" s="15" t="n">
        <f aca="false">IFERROR(INDEX(Rates!$D$5:$D$84,MATCH(A26,Rates!$A$5:$A$84,0)),0)</f>
        <v>0.05</v>
      </c>
      <c r="F26" s="12" t="n">
        <f aca="false">D26*(1+E26)</f>
        <v>11.830665</v>
      </c>
      <c r="G26" s="14" t="str">
        <f aca="false">INDEX(Rates!$F$5:$F$84,MATCH(A26,Rates!$A$5:$A$84,0))</f>
        <v>L</v>
      </c>
      <c r="H26" s="14" t="n">
        <f aca="false">INDEX(Rates!$G$5:$G$84,MATCH(A26,Rates!$A$5:$A$84,0))</f>
        <v>1</v>
      </c>
      <c r="I26" s="12" t="n">
        <f aca="false">ROUNDUP(F26/H26,0)*H26</f>
        <v>12</v>
      </c>
      <c r="J26" s="19" t="n">
        <f aca="false">I26/H26</f>
        <v>12</v>
      </c>
      <c r="K26" s="16" t="n">
        <f aca="false">IFERROR(INDEX(Rates!$E$5:$E$84,MATCH(A26,Rates!$A$5:$A$84,0)),0)</f>
        <v>3500</v>
      </c>
      <c r="L26" s="7" t="n">
        <f aca="false">I26*K26</f>
        <v>42000</v>
      </c>
      <c r="M26" s="6" t="str">
        <f aca="false">IF(A26="BRK",ROUNDUP(I26/2000,0),IF(OR(A26="SNDC",A26="SNDM",A26="CRS",A26="KHG",A26="EARTH"),ROUNDUP(I26/100,0),""))</f>
        <v/>
      </c>
      <c r="N26" s="14" t="str">
        <f aca="false">INDEX(Rates!$J$5:$J$84,MATCH(A26,Rates!$A$5:$A$84,0))</f>
        <v>Anti-termite</v>
      </c>
    </row>
    <row r="27" customFormat="false" ht="15" hidden="false" customHeight="false" outlineLevel="0" collapsed="false">
      <c r="A27" s="6" t="s">
        <v>122</v>
      </c>
      <c r="B27" s="14" t="str">
        <f aca="false">INDEX(Rates!$B$5:$B$84,MATCH(A27,Rates!$A$5:$A$84,0))</f>
        <v>Bhatta (brick) roof tiles 9" x 4½" x 1½"</v>
      </c>
      <c r="C27" s="14" t="str">
        <f aca="false">INDEX(Rates!$C$5:$C$84,MATCH(A27,Rates!$A$5:$A$84,0))</f>
        <v>nos</v>
      </c>
      <c r="D27" s="12" t="n">
        <f aca="false">SUMIF(BOQ!$M$5:$M$452,A27,BOQ!$O$5:$O$452)</f>
        <v>4979.1915</v>
      </c>
      <c r="E27" s="15" t="n">
        <f aca="false">IFERROR(INDEX(Rates!$D$5:$D$84,MATCH(A27,Rates!$A$5:$A$84,0)),0)</f>
        <v>0.05</v>
      </c>
      <c r="F27" s="12" t="n">
        <f aca="false">D27*(1+E27)</f>
        <v>5228.151075</v>
      </c>
      <c r="G27" s="14" t="str">
        <f aca="false">INDEX(Rates!$F$5:$F$84,MATCH(A27,Rates!$A$5:$A$84,0))</f>
        <v>100 tiles</v>
      </c>
      <c r="H27" s="14" t="n">
        <f aca="false">INDEX(Rates!$G$5:$G$84,MATCH(A27,Rates!$A$5:$A$84,0))</f>
        <v>100</v>
      </c>
      <c r="I27" s="12" t="n">
        <f aca="false">ROUNDUP(F27/H27,0)*H27</f>
        <v>5300</v>
      </c>
      <c r="J27" s="19" t="n">
        <f aca="false">I27/H27</f>
        <v>53</v>
      </c>
      <c r="K27" s="16" t="n">
        <f aca="false">IFERROR(INDEX(Rates!$E$5:$E$84,MATCH(A27,Rates!$A$5:$A$84,0)),0)</f>
        <v>20</v>
      </c>
      <c r="L27" s="7" t="n">
        <f aca="false">I27*K27</f>
        <v>106000</v>
      </c>
      <c r="M27" s="6" t="str">
        <f aca="false">IF(A27="BRK",ROUNDUP(I27/2000,0),IF(OR(A27="SNDC",A27="SNDM",A27="CRS",A27="KHG",A27="EARTH"),ROUNDUP(I27/100,0),""))</f>
        <v/>
      </c>
      <c r="N27" s="14" t="str">
        <f aca="false">INDEX(Rates!$J$5:$J$84,MATCH(A27,Rates!$A$5:$A$84,0))</f>
        <v>Roof tiles</v>
      </c>
    </row>
    <row r="28" customFormat="false" ht="15" hidden="false" customHeight="false" outlineLevel="0" collapsed="false">
      <c r="A28" s="6" t="s">
        <v>126</v>
      </c>
      <c r="B28" s="14" t="str">
        <f aca="false">INDEX(Rates!$B$5:$B$84,MATCH(A28,Rates!$A$5:$A$84,0))</f>
        <v>Galvanised chicken mesh, roll 3 ft x 100 ft</v>
      </c>
      <c r="C28" s="14" t="str">
        <f aca="false">INDEX(Rates!$C$5:$C$84,MATCH(A28,Rates!$A$5:$A$84,0))</f>
        <v>roll</v>
      </c>
      <c r="D28" s="12" t="n">
        <f aca="false">SUMIF(BOQ!$M$5:$M$452,A28,BOQ!$O$5:$O$452)</f>
        <v>16.4452</v>
      </c>
      <c r="E28" s="15" t="n">
        <f aca="false">IFERROR(INDEX(Rates!$D$5:$D$84,MATCH(A28,Rates!$A$5:$A$84,0)),0)</f>
        <v>0.05</v>
      </c>
      <c r="F28" s="12" t="n">
        <f aca="false">D28*(1+E28)</f>
        <v>17.26746</v>
      </c>
      <c r="G28" s="14" t="str">
        <f aca="false">INDEX(Rates!$F$5:$F$84,MATCH(A28,Rates!$A$5:$A$84,0))</f>
        <v>roll</v>
      </c>
      <c r="H28" s="14" t="n">
        <f aca="false">INDEX(Rates!$G$5:$G$84,MATCH(A28,Rates!$A$5:$A$84,0))</f>
        <v>1</v>
      </c>
      <c r="I28" s="12" t="n">
        <f aca="false">ROUNDUP(F28/H28,0)*H28</f>
        <v>18</v>
      </c>
      <c r="J28" s="19" t="n">
        <f aca="false">I28/H28</f>
        <v>18</v>
      </c>
      <c r="K28" s="16" t="n">
        <f aca="false">IFERROR(INDEX(Rates!$E$5:$E$84,MATCH(A28,Rates!$A$5:$A$84,0)),0)</f>
        <v>5500</v>
      </c>
      <c r="L28" s="7" t="n">
        <f aca="false">I28*K28</f>
        <v>99000</v>
      </c>
      <c r="M28" s="6" t="str">
        <f aca="false">IF(A28="BRK",ROUNDUP(I28/2000,0),IF(OR(A28="SNDC",A28="SNDM",A28="CRS",A28="KHG",A28="EARTH"),ROUNDUP(I28/100,0),""))</f>
        <v/>
      </c>
      <c r="N28" s="14" t="str">
        <f aca="false">INDEX(Rates!$J$5:$J$84,MATCH(A28,Rates!$A$5:$A$84,0))</f>
        <v>Chicken mesh</v>
      </c>
    </row>
    <row r="29" customFormat="false" ht="15" hidden="false" customHeight="false" outlineLevel="0" collapsed="false">
      <c r="A29" s="6" t="s">
        <v>130</v>
      </c>
      <c r="B29" s="14" t="str">
        <f aca="false">INDEX(Rates!$B$5:$B$84,MATCH(A29,Rates!$A$5:$A$84,0))</f>
        <v>Concrete nails with washers for mesh</v>
      </c>
      <c r="C29" s="14" t="str">
        <f aca="false">INDEX(Rates!$C$5:$C$84,MATCH(A29,Rates!$A$5:$A$84,0))</f>
        <v>kg</v>
      </c>
      <c r="D29" s="12" t="n">
        <f aca="false">SUMIF(BOQ!$M$5:$M$452,A29,BOQ!$O$5:$O$452)</f>
        <v>14.9502</v>
      </c>
      <c r="E29" s="15" t="n">
        <f aca="false">IFERROR(INDEX(Rates!$D$5:$D$84,MATCH(A29,Rates!$A$5:$A$84,0)),0)</f>
        <v>0</v>
      </c>
      <c r="F29" s="12" t="n">
        <f aca="false">D29*(1+E29)</f>
        <v>14.9502</v>
      </c>
      <c r="G29" s="14" t="str">
        <f aca="false">INDEX(Rates!$F$5:$F$84,MATCH(A29,Rates!$A$5:$A$84,0))</f>
        <v>kg</v>
      </c>
      <c r="H29" s="14" t="n">
        <f aca="false">INDEX(Rates!$G$5:$G$84,MATCH(A29,Rates!$A$5:$A$84,0))</f>
        <v>1</v>
      </c>
      <c r="I29" s="12" t="n">
        <f aca="false">ROUNDUP(F29/H29,0)*H29</f>
        <v>15</v>
      </c>
      <c r="J29" s="19" t="n">
        <f aca="false">I29/H29</f>
        <v>15</v>
      </c>
      <c r="K29" s="16" t="n">
        <f aca="false">IFERROR(INDEX(Rates!$E$5:$E$84,MATCH(A29,Rates!$A$5:$A$84,0)),0)</f>
        <v>450</v>
      </c>
      <c r="L29" s="7" t="n">
        <f aca="false">I29*K29</f>
        <v>6750</v>
      </c>
      <c r="M29" s="6" t="str">
        <f aca="false">IF(A29="BRK",ROUNDUP(I29/2000,0),IF(OR(A29="SNDC",A29="SNDM",A29="CRS",A29="KHG",A29="EARTH"),ROUNDUP(I29/100,0),""))</f>
        <v/>
      </c>
      <c r="N29" s="14" t="str">
        <f aca="false">INDEX(Rates!$J$5:$J$84,MATCH(A29,Rates!$A$5:$A$84,0))</f>
        <v>Chicken mesh</v>
      </c>
    </row>
    <row r="30" customFormat="false" ht="15" hidden="false" customHeight="false" outlineLevel="0" collapsed="false">
      <c r="A30" s="6" t="s">
        <v>132</v>
      </c>
      <c r="B30" s="14" t="str">
        <f aca="false">INDEX(Rates!$B$5:$B$84,MATCH(A30,Rates!$A$5:$A$84,0))</f>
        <v>UPVC sewer pipe 5" (Dadex / Beta)</v>
      </c>
      <c r="C30" s="14" t="str">
        <f aca="false">INDEX(Rates!$C$5:$C$84,MATCH(A30,Rates!$A$5:$A$84,0))</f>
        <v>ft</v>
      </c>
      <c r="D30" s="12" t="n">
        <f aca="false">SUMIF(BOQ!$M$5:$M$452,A30,BOQ!$O$5:$O$452)</f>
        <v>159.905</v>
      </c>
      <c r="E30" s="15" t="n">
        <f aca="false">IFERROR(INDEX(Rates!$D$5:$D$84,MATCH(A30,Rates!$A$5:$A$84,0)),0)</f>
        <v>0.07</v>
      </c>
      <c r="F30" s="12" t="n">
        <f aca="false">D30*(1+E30)</f>
        <v>171.09835</v>
      </c>
      <c r="G30" s="14" t="str">
        <f aca="false">INDEX(Rates!$F$5:$F$84,MATCH(A30,Rates!$A$5:$A$84,0))</f>
        <v>20-ft length</v>
      </c>
      <c r="H30" s="14" t="n">
        <f aca="false">INDEX(Rates!$G$5:$G$84,MATCH(A30,Rates!$A$5:$A$84,0))</f>
        <v>20</v>
      </c>
      <c r="I30" s="12" t="n">
        <f aca="false">ROUNDUP(F30/H30,0)*H30</f>
        <v>180</v>
      </c>
      <c r="J30" s="19" t="n">
        <f aca="false">I30/H30</f>
        <v>9</v>
      </c>
      <c r="K30" s="16" t="n">
        <f aca="false">IFERROR(INDEX(Rates!$E$5:$E$84,MATCH(A30,Rates!$A$5:$A$84,0)),0)</f>
        <v>420</v>
      </c>
      <c r="L30" s="7" t="n">
        <f aca="false">I30*K30</f>
        <v>75600</v>
      </c>
      <c r="M30" s="6" t="str">
        <f aca="false">IF(A30="BRK",ROUNDUP(I30/2000,0),IF(OR(A30="SNDC",A30="SNDM",A30="CRS",A30="KHG",A30="EARTH"),ROUNDUP(I30/100,0),""))</f>
        <v/>
      </c>
      <c r="N30" s="14" t="str">
        <f aca="false">INDEX(Rates!$J$5:$J$84,MATCH(A30,Rates!$A$5:$A$84,0))</f>
        <v>Sewer pipes</v>
      </c>
    </row>
    <row r="31" customFormat="false" ht="15" hidden="false" customHeight="false" outlineLevel="0" collapsed="false">
      <c r="A31" s="6" t="s">
        <v>136</v>
      </c>
      <c r="B31" s="14" t="str">
        <f aca="false">INDEX(Rates!$B$5:$B$84,MATCH(A31,Rates!$A$5:$A$84,0))</f>
        <v>UPVC sewer pipe 4"</v>
      </c>
      <c r="C31" s="14" t="str">
        <f aca="false">INDEX(Rates!$C$5:$C$84,MATCH(A31,Rates!$A$5:$A$84,0))</f>
        <v>ft</v>
      </c>
      <c r="D31" s="12" t="n">
        <f aca="false">SUMIF(BOQ!$M$5:$M$452,A31,BOQ!$O$5:$O$452)</f>
        <v>127.8472</v>
      </c>
      <c r="E31" s="15" t="n">
        <f aca="false">IFERROR(INDEX(Rates!$D$5:$D$84,MATCH(A31,Rates!$A$5:$A$84,0)),0)</f>
        <v>0.07</v>
      </c>
      <c r="F31" s="12" t="n">
        <f aca="false">D31*(1+E31)</f>
        <v>136.796504</v>
      </c>
      <c r="G31" s="14" t="str">
        <f aca="false">INDEX(Rates!$F$5:$F$84,MATCH(A31,Rates!$A$5:$A$84,0))</f>
        <v>20-ft length</v>
      </c>
      <c r="H31" s="14" t="n">
        <f aca="false">INDEX(Rates!$G$5:$G$84,MATCH(A31,Rates!$A$5:$A$84,0))</f>
        <v>20</v>
      </c>
      <c r="I31" s="12" t="n">
        <f aca="false">ROUNDUP(F31/H31,0)*H31</f>
        <v>140</v>
      </c>
      <c r="J31" s="19" t="n">
        <f aca="false">I31/H31</f>
        <v>7</v>
      </c>
      <c r="K31" s="16" t="n">
        <f aca="false">IFERROR(INDEX(Rates!$E$5:$E$84,MATCH(A31,Rates!$A$5:$A$84,0)),0)</f>
        <v>300</v>
      </c>
      <c r="L31" s="7" t="n">
        <f aca="false">I31*K31</f>
        <v>42000</v>
      </c>
      <c r="M31" s="6" t="str">
        <f aca="false">IF(A31="BRK",ROUNDUP(I31/2000,0),IF(OR(A31="SNDC",A31="SNDM",A31="CRS",A31="KHG",A31="EARTH"),ROUNDUP(I31/100,0),""))</f>
        <v/>
      </c>
      <c r="N31" s="14" t="str">
        <f aca="false">INDEX(Rates!$J$5:$J$84,MATCH(A31,Rates!$A$5:$A$84,0))</f>
        <v>Sewer pipes</v>
      </c>
    </row>
    <row r="32" customFormat="false" ht="15" hidden="false" customHeight="false" outlineLevel="0" collapsed="false">
      <c r="A32" s="6" t="s">
        <v>138</v>
      </c>
      <c r="B32" s="14" t="str">
        <f aca="false">INDEX(Rates!$B$5:$B$84,MATCH(A32,Rates!$A$5:$A$84,0))</f>
        <v>UPVC pipe 3" (waste / vent)</v>
      </c>
      <c r="C32" s="14" t="str">
        <f aca="false">INDEX(Rates!$C$5:$C$84,MATCH(A32,Rates!$A$5:$A$84,0))</f>
        <v>ft</v>
      </c>
      <c r="D32" s="12" t="n">
        <f aca="false">SUMIF(BOQ!$M$5:$M$452,A32,BOQ!$O$5:$O$452)</f>
        <v>230.0824</v>
      </c>
      <c r="E32" s="15" t="n">
        <f aca="false">IFERROR(INDEX(Rates!$D$5:$D$84,MATCH(A32,Rates!$A$5:$A$84,0)),0)</f>
        <v>0.07</v>
      </c>
      <c r="F32" s="12" t="n">
        <f aca="false">D32*(1+E32)</f>
        <v>246.188168</v>
      </c>
      <c r="G32" s="14" t="str">
        <f aca="false">INDEX(Rates!$F$5:$F$84,MATCH(A32,Rates!$A$5:$A$84,0))</f>
        <v>20-ft length</v>
      </c>
      <c r="H32" s="14" t="n">
        <f aca="false">INDEX(Rates!$G$5:$G$84,MATCH(A32,Rates!$A$5:$A$84,0))</f>
        <v>20</v>
      </c>
      <c r="I32" s="12" t="n">
        <f aca="false">ROUNDUP(F32/H32,0)*H32</f>
        <v>260</v>
      </c>
      <c r="J32" s="19" t="n">
        <f aca="false">I32/H32</f>
        <v>13</v>
      </c>
      <c r="K32" s="16" t="n">
        <f aca="false">IFERROR(INDEX(Rates!$E$5:$E$84,MATCH(A32,Rates!$A$5:$A$84,0)),0)</f>
        <v>200</v>
      </c>
      <c r="L32" s="7" t="n">
        <f aca="false">I32*K32</f>
        <v>52000</v>
      </c>
      <c r="M32" s="6" t="str">
        <f aca="false">IF(A32="BRK",ROUNDUP(I32/2000,0),IF(OR(A32="SNDC",A32="SNDM",A32="CRS",A32="KHG",A32="EARTH"),ROUNDUP(I32/100,0),""))</f>
        <v/>
      </c>
      <c r="N32" s="14" t="str">
        <f aca="false">INDEX(Rates!$J$5:$J$84,MATCH(A32,Rates!$A$5:$A$84,0))</f>
        <v>Sewer pipes</v>
      </c>
    </row>
    <row r="33" customFormat="false" ht="15" hidden="false" customHeight="false" outlineLevel="0" collapsed="false">
      <c r="A33" s="6" t="s">
        <v>140</v>
      </c>
      <c r="B33" s="14" t="str">
        <f aca="false">INDEX(Rates!$B$5:$B$84,MATCH(A33,Rates!$A$5:$A$84,0))</f>
        <v>UPVC rain-water pipe 3"</v>
      </c>
      <c r="C33" s="14" t="str">
        <f aca="false">INDEX(Rates!$C$5:$C$84,MATCH(A33,Rates!$A$5:$A$84,0))</f>
        <v>ft</v>
      </c>
      <c r="D33" s="12" t="n">
        <f aca="false">SUMIF(BOQ!$M$5:$M$452,A33,BOQ!$O$5:$O$452)</f>
        <v>112</v>
      </c>
      <c r="E33" s="15" t="n">
        <f aca="false">IFERROR(INDEX(Rates!$D$5:$D$84,MATCH(A33,Rates!$A$5:$A$84,0)),0)</f>
        <v>0.07</v>
      </c>
      <c r="F33" s="12" t="n">
        <f aca="false">D33*(1+E33)</f>
        <v>119.84</v>
      </c>
      <c r="G33" s="14" t="str">
        <f aca="false">INDEX(Rates!$F$5:$F$84,MATCH(A33,Rates!$A$5:$A$84,0))</f>
        <v>20-ft length</v>
      </c>
      <c r="H33" s="14" t="n">
        <f aca="false">INDEX(Rates!$G$5:$G$84,MATCH(A33,Rates!$A$5:$A$84,0))</f>
        <v>20</v>
      </c>
      <c r="I33" s="12" t="n">
        <f aca="false">ROUNDUP(F33/H33,0)*H33</f>
        <v>120</v>
      </c>
      <c r="J33" s="19" t="n">
        <f aca="false">I33/H33</f>
        <v>6</v>
      </c>
      <c r="K33" s="16" t="n">
        <f aca="false">IFERROR(INDEX(Rates!$E$5:$E$84,MATCH(A33,Rates!$A$5:$A$84,0)),0)</f>
        <v>200</v>
      </c>
      <c r="L33" s="7" t="n">
        <f aca="false">I33*K33</f>
        <v>24000</v>
      </c>
      <c r="M33" s="6" t="str">
        <f aca="false">IF(A33="BRK",ROUNDUP(I33/2000,0),IF(OR(A33="SNDC",A33="SNDM",A33="CRS",A33="KHG",A33="EARTH"),ROUNDUP(I33/100,0),""))</f>
        <v/>
      </c>
      <c r="N33" s="14" t="str">
        <f aca="false">INDEX(Rates!$J$5:$J$84,MATCH(A33,Rates!$A$5:$A$84,0))</f>
        <v>Sewer pipes</v>
      </c>
    </row>
    <row r="34" customFormat="false" ht="15" hidden="false" customHeight="false" outlineLevel="0" collapsed="false">
      <c r="A34" s="6" t="s">
        <v>142</v>
      </c>
      <c r="B34" s="14" t="str">
        <f aca="false">INDEX(Rates!$B$5:$B$84,MATCH(A34,Rates!$A$5:$A$84,0))</f>
        <v>UPVC fittings 5" (bends, tees, sockets)</v>
      </c>
      <c r="C34" s="14" t="str">
        <f aca="false">INDEX(Rates!$C$5:$C$84,MATCH(A34,Rates!$A$5:$A$84,0))</f>
        <v>nos</v>
      </c>
      <c r="D34" s="12" t="n">
        <f aca="false">SUMIF(BOQ!$M$5:$M$452,A34,BOQ!$O$5:$O$452)</f>
        <v>25</v>
      </c>
      <c r="E34" s="15" t="n">
        <f aca="false">IFERROR(INDEX(Rates!$D$5:$D$84,MATCH(A34,Rates!$A$5:$A$84,0)),0)</f>
        <v>0</v>
      </c>
      <c r="F34" s="12" t="n">
        <f aca="false">D34*(1+E34)</f>
        <v>25</v>
      </c>
      <c r="G34" s="14" t="str">
        <f aca="false">INDEX(Rates!$F$5:$F$84,MATCH(A34,Rates!$A$5:$A$84,0))</f>
        <v>nos</v>
      </c>
      <c r="H34" s="14" t="n">
        <f aca="false">INDEX(Rates!$G$5:$G$84,MATCH(A34,Rates!$A$5:$A$84,0))</f>
        <v>1</v>
      </c>
      <c r="I34" s="12" t="n">
        <f aca="false">ROUNDUP(F34/H34,0)*H34</f>
        <v>25</v>
      </c>
      <c r="J34" s="19" t="n">
        <f aca="false">I34/H34</f>
        <v>25</v>
      </c>
      <c r="K34" s="16" t="n">
        <f aca="false">IFERROR(INDEX(Rates!$E$5:$E$84,MATCH(A34,Rates!$A$5:$A$84,0)),0)</f>
        <v>950</v>
      </c>
      <c r="L34" s="7" t="n">
        <f aca="false">I34*K34</f>
        <v>23750</v>
      </c>
      <c r="M34" s="6" t="str">
        <f aca="false">IF(A34="BRK",ROUNDUP(I34/2000,0),IF(OR(A34="SNDC",A34="SNDM",A34="CRS",A34="KHG",A34="EARTH"),ROUNDUP(I34/100,0),""))</f>
        <v/>
      </c>
      <c r="N34" s="14" t="str">
        <f aca="false">INDEX(Rates!$J$5:$J$84,MATCH(A34,Rates!$A$5:$A$84,0))</f>
        <v>Sewer pipes</v>
      </c>
    </row>
    <row r="35" customFormat="false" ht="15" hidden="false" customHeight="false" outlineLevel="0" collapsed="false">
      <c r="A35" s="6" t="s">
        <v>144</v>
      </c>
      <c r="B35" s="14" t="str">
        <f aca="false">INDEX(Rates!$B$5:$B$84,MATCH(A35,Rates!$A$5:$A$84,0))</f>
        <v>UPVC fittings 4"</v>
      </c>
      <c r="C35" s="14" t="str">
        <f aca="false">INDEX(Rates!$C$5:$C$84,MATCH(A35,Rates!$A$5:$A$84,0))</f>
        <v>nos</v>
      </c>
      <c r="D35" s="12" t="n">
        <f aca="false">SUMIF(BOQ!$M$5:$M$452,A35,BOQ!$O$5:$O$452)</f>
        <v>54</v>
      </c>
      <c r="E35" s="15" t="n">
        <f aca="false">IFERROR(INDEX(Rates!$D$5:$D$84,MATCH(A35,Rates!$A$5:$A$84,0)),0)</f>
        <v>0</v>
      </c>
      <c r="F35" s="12" t="n">
        <f aca="false">D35*(1+E35)</f>
        <v>54</v>
      </c>
      <c r="G35" s="14" t="str">
        <f aca="false">INDEX(Rates!$F$5:$F$84,MATCH(A35,Rates!$A$5:$A$84,0))</f>
        <v>nos</v>
      </c>
      <c r="H35" s="14" t="n">
        <f aca="false">INDEX(Rates!$G$5:$G$84,MATCH(A35,Rates!$A$5:$A$84,0))</f>
        <v>1</v>
      </c>
      <c r="I35" s="12" t="n">
        <f aca="false">ROUNDUP(F35/H35,0)*H35</f>
        <v>54</v>
      </c>
      <c r="J35" s="19" t="n">
        <f aca="false">I35/H35</f>
        <v>54</v>
      </c>
      <c r="K35" s="16" t="n">
        <f aca="false">IFERROR(INDEX(Rates!$E$5:$E$84,MATCH(A35,Rates!$A$5:$A$84,0)),0)</f>
        <v>600</v>
      </c>
      <c r="L35" s="7" t="n">
        <f aca="false">I35*K35</f>
        <v>32400</v>
      </c>
      <c r="M35" s="6" t="str">
        <f aca="false">IF(A35="BRK",ROUNDUP(I35/2000,0),IF(OR(A35="SNDC",A35="SNDM",A35="CRS",A35="KHG",A35="EARTH"),ROUNDUP(I35/100,0),""))</f>
        <v/>
      </c>
      <c r="N35" s="14" t="str">
        <f aca="false">INDEX(Rates!$J$5:$J$84,MATCH(A35,Rates!$A$5:$A$84,0))</f>
        <v>Sewer pipes</v>
      </c>
    </row>
    <row r="36" customFormat="false" ht="15" hidden="false" customHeight="false" outlineLevel="0" collapsed="false">
      <c r="A36" s="6" t="s">
        <v>146</v>
      </c>
      <c r="B36" s="14" t="str">
        <f aca="false">INDEX(Rates!$B$5:$B$84,MATCH(A36,Rates!$A$5:$A$84,0))</f>
        <v>UPVC fittings 3" incl. floor / gully traps, roof outlets</v>
      </c>
      <c r="C36" s="14" t="str">
        <f aca="false">INDEX(Rates!$C$5:$C$84,MATCH(A36,Rates!$A$5:$A$84,0))</f>
        <v>nos</v>
      </c>
      <c r="D36" s="12" t="n">
        <f aca="false">SUMIF(BOQ!$M$5:$M$452,A36,BOQ!$O$5:$O$452)</f>
        <v>100</v>
      </c>
      <c r="E36" s="15" t="n">
        <f aca="false">IFERROR(INDEX(Rates!$D$5:$D$84,MATCH(A36,Rates!$A$5:$A$84,0)),0)</f>
        <v>0</v>
      </c>
      <c r="F36" s="12" t="n">
        <f aca="false">D36*(1+E36)</f>
        <v>100</v>
      </c>
      <c r="G36" s="14" t="str">
        <f aca="false">INDEX(Rates!$F$5:$F$84,MATCH(A36,Rates!$A$5:$A$84,0))</f>
        <v>nos</v>
      </c>
      <c r="H36" s="14" t="n">
        <f aca="false">INDEX(Rates!$G$5:$G$84,MATCH(A36,Rates!$A$5:$A$84,0))</f>
        <v>1</v>
      </c>
      <c r="I36" s="12" t="n">
        <f aca="false">ROUNDUP(F36/H36,0)*H36</f>
        <v>100</v>
      </c>
      <c r="J36" s="19" t="n">
        <f aca="false">I36/H36</f>
        <v>100</v>
      </c>
      <c r="K36" s="16" t="n">
        <f aca="false">IFERROR(INDEX(Rates!$E$5:$E$84,MATCH(A36,Rates!$A$5:$A$84,0)),0)</f>
        <v>380</v>
      </c>
      <c r="L36" s="7" t="n">
        <f aca="false">I36*K36</f>
        <v>38000</v>
      </c>
      <c r="M36" s="6" t="str">
        <f aca="false">IF(A36="BRK",ROUNDUP(I36/2000,0),IF(OR(A36="SNDC",A36="SNDM",A36="CRS",A36="KHG",A36="EARTH"),ROUNDUP(I36/100,0),""))</f>
        <v/>
      </c>
      <c r="N36" s="14" t="str">
        <f aca="false">INDEX(Rates!$J$5:$J$84,MATCH(A36,Rates!$A$5:$A$84,0))</f>
        <v>Sewer pipes</v>
      </c>
    </row>
    <row r="37" customFormat="false" ht="15" hidden="false" customHeight="false" outlineLevel="0" collapsed="false">
      <c r="A37" s="6" t="s">
        <v>148</v>
      </c>
      <c r="B37" s="14" t="str">
        <f aca="false">INDEX(Rates!$B$5:$B$84,MATCH(A37,Rates!$A$5:$A$84,0))</f>
        <v>Vent cowl 3"</v>
      </c>
      <c r="C37" s="14" t="str">
        <f aca="false">INDEX(Rates!$C$5:$C$84,MATCH(A37,Rates!$A$5:$A$84,0))</f>
        <v>nos</v>
      </c>
      <c r="D37" s="12" t="n">
        <f aca="false">SUMIF(BOQ!$M$5:$M$452,A37,BOQ!$O$5:$O$452)</f>
        <v>1</v>
      </c>
      <c r="E37" s="15" t="n">
        <f aca="false">IFERROR(INDEX(Rates!$D$5:$D$84,MATCH(A37,Rates!$A$5:$A$84,0)),0)</f>
        <v>0</v>
      </c>
      <c r="F37" s="12" t="n">
        <f aca="false">D37*(1+E37)</f>
        <v>1</v>
      </c>
      <c r="G37" s="14" t="str">
        <f aca="false">INDEX(Rates!$F$5:$F$84,MATCH(A37,Rates!$A$5:$A$84,0))</f>
        <v>nos</v>
      </c>
      <c r="H37" s="14" t="n">
        <f aca="false">INDEX(Rates!$G$5:$G$84,MATCH(A37,Rates!$A$5:$A$84,0))</f>
        <v>1</v>
      </c>
      <c r="I37" s="12" t="n">
        <f aca="false">ROUNDUP(F37/H37,0)*H37</f>
        <v>1</v>
      </c>
      <c r="J37" s="19" t="n">
        <f aca="false">I37/H37</f>
        <v>1</v>
      </c>
      <c r="K37" s="16" t="n">
        <f aca="false">IFERROR(INDEX(Rates!$E$5:$E$84,MATCH(A37,Rates!$A$5:$A$84,0)),0)</f>
        <v>600</v>
      </c>
      <c r="L37" s="7" t="n">
        <f aca="false">I37*K37</f>
        <v>600</v>
      </c>
      <c r="M37" s="6" t="str">
        <f aca="false">IF(A37="BRK",ROUNDUP(I37/2000,0),IF(OR(A37="SNDC",A37="SNDM",A37="CRS",A37="KHG",A37="EARTH"),ROUNDUP(I37/100,0),""))</f>
        <v/>
      </c>
      <c r="N37" s="14" t="str">
        <f aca="false">INDEX(Rates!$J$5:$J$84,MATCH(A37,Rates!$A$5:$A$84,0))</f>
        <v>Sewer pipes</v>
      </c>
    </row>
    <row r="38" customFormat="false" ht="15" hidden="false" customHeight="false" outlineLevel="0" collapsed="false">
      <c r="A38" s="6" t="s">
        <v>150</v>
      </c>
      <c r="B38" s="14" t="str">
        <f aca="false">INDEX(Rates!$B$5:$B$84,MATCH(A38,Rates!$A$5:$A$84,0))</f>
        <v>Heavy-duty CI manhole cover with frame 20" x 20"</v>
      </c>
      <c r="C38" s="14" t="str">
        <f aca="false">INDEX(Rates!$C$5:$C$84,MATCH(A38,Rates!$A$5:$A$84,0))</f>
        <v>nos</v>
      </c>
      <c r="D38" s="12" t="n">
        <f aca="false">SUMIF(BOQ!$M$5:$M$452,A38,BOQ!$O$5:$O$452)</f>
        <v>2</v>
      </c>
      <c r="E38" s="15" t="n">
        <f aca="false">IFERROR(INDEX(Rates!$D$5:$D$84,MATCH(A38,Rates!$A$5:$A$84,0)),0)</f>
        <v>0</v>
      </c>
      <c r="F38" s="12" t="n">
        <f aca="false">D38*(1+E38)</f>
        <v>2</v>
      </c>
      <c r="G38" s="14" t="str">
        <f aca="false">INDEX(Rates!$F$5:$F$84,MATCH(A38,Rates!$A$5:$A$84,0))</f>
        <v>nos</v>
      </c>
      <c r="H38" s="14" t="n">
        <f aca="false">INDEX(Rates!$G$5:$G$84,MATCH(A38,Rates!$A$5:$A$84,0))</f>
        <v>1</v>
      </c>
      <c r="I38" s="12" t="n">
        <f aca="false">ROUNDUP(F38/H38,0)*H38</f>
        <v>2</v>
      </c>
      <c r="J38" s="19" t="n">
        <f aca="false">I38/H38</f>
        <v>2</v>
      </c>
      <c r="K38" s="16" t="n">
        <f aca="false">IFERROR(INDEX(Rates!$E$5:$E$84,MATCH(A38,Rates!$A$5:$A$84,0)),0)</f>
        <v>15000</v>
      </c>
      <c r="L38" s="7" t="n">
        <f aca="false">I38*K38</f>
        <v>30000</v>
      </c>
      <c r="M38" s="6" t="str">
        <f aca="false">IF(A38="BRK",ROUNDUP(I38/2000,0),IF(OR(A38="SNDC",A38="SNDM",A38="CRS",A38="KHG",A38="EARTH"),ROUNDUP(I38/100,0),""))</f>
        <v/>
      </c>
      <c r="N38" s="14" t="str">
        <f aca="false">INDEX(Rates!$J$5:$J$84,MATCH(A38,Rates!$A$5:$A$84,0))</f>
        <v>Covers</v>
      </c>
    </row>
    <row r="39" customFormat="false" ht="15" hidden="false" customHeight="false" outlineLevel="0" collapsed="false">
      <c r="A39" s="6" t="s">
        <v>153</v>
      </c>
      <c r="B39" s="14" t="str">
        <f aca="false">INDEX(Rates!$B$5:$B$84,MATCH(A39,Rates!$A$5:$A$84,0))</f>
        <v>Lockable steel / CI tank cover 2' x 2'</v>
      </c>
      <c r="C39" s="14" t="str">
        <f aca="false">INDEX(Rates!$C$5:$C$84,MATCH(A39,Rates!$A$5:$A$84,0))</f>
        <v>nos</v>
      </c>
      <c r="D39" s="12" t="n">
        <f aca="false">SUMIF(BOQ!$M$5:$M$452,A39,BOQ!$O$5:$O$452)</f>
        <v>1</v>
      </c>
      <c r="E39" s="15" t="n">
        <f aca="false">IFERROR(INDEX(Rates!$D$5:$D$84,MATCH(A39,Rates!$A$5:$A$84,0)),0)</f>
        <v>0</v>
      </c>
      <c r="F39" s="12" t="n">
        <f aca="false">D39*(1+E39)</f>
        <v>1</v>
      </c>
      <c r="G39" s="14" t="str">
        <f aca="false">INDEX(Rates!$F$5:$F$84,MATCH(A39,Rates!$A$5:$A$84,0))</f>
        <v>nos</v>
      </c>
      <c r="H39" s="14" t="n">
        <f aca="false">INDEX(Rates!$G$5:$G$84,MATCH(A39,Rates!$A$5:$A$84,0))</f>
        <v>1</v>
      </c>
      <c r="I39" s="12" t="n">
        <f aca="false">ROUNDUP(F39/H39,0)*H39</f>
        <v>1</v>
      </c>
      <c r="J39" s="19" t="n">
        <f aca="false">I39/H39</f>
        <v>1</v>
      </c>
      <c r="K39" s="16" t="n">
        <f aca="false">IFERROR(INDEX(Rates!$E$5:$E$84,MATCH(A39,Rates!$A$5:$A$84,0)),0)</f>
        <v>12000</v>
      </c>
      <c r="L39" s="7" t="n">
        <f aca="false">I39*K39</f>
        <v>12000</v>
      </c>
      <c r="M39" s="6" t="str">
        <f aca="false">IF(A39="BRK",ROUNDUP(I39/2000,0),IF(OR(A39="SNDC",A39="SNDM",A39="CRS",A39="KHG",A39="EARTH"),ROUNDUP(I39/100,0),""))</f>
        <v/>
      </c>
      <c r="N39" s="14" t="str">
        <f aca="false">INDEX(Rates!$J$5:$J$84,MATCH(A39,Rates!$A$5:$A$84,0))</f>
        <v>Covers</v>
      </c>
    </row>
    <row r="40" customFormat="false" ht="15" hidden="false" customHeight="false" outlineLevel="0" collapsed="false">
      <c r="A40" s="6" t="s">
        <v>155</v>
      </c>
      <c r="B40" s="14" t="str">
        <f aca="false">INDEX(Rates!$B$5:$B$84,MATCH(A40,Rates!$A$5:$A$84,0))</f>
        <v>PVC drain pipe ¾" (20 mm) for A.C condensate</v>
      </c>
      <c r="C40" s="14" t="str">
        <f aca="false">INDEX(Rates!$C$5:$C$84,MATCH(A40,Rates!$A$5:$A$84,0))</f>
        <v>ft</v>
      </c>
      <c r="D40" s="12" t="n">
        <f aca="false">SUMIF(BOQ!$M$5:$M$452,A40,BOQ!$O$5:$O$452)</f>
        <v>200</v>
      </c>
      <c r="E40" s="15" t="n">
        <f aca="false">IFERROR(INDEX(Rates!$D$5:$D$84,MATCH(A40,Rates!$A$5:$A$84,0)),0)</f>
        <v>0.07</v>
      </c>
      <c r="F40" s="12" t="n">
        <f aca="false">D40*(1+E40)</f>
        <v>214</v>
      </c>
      <c r="G40" s="14" t="str">
        <f aca="false">INDEX(Rates!$F$5:$F$84,MATCH(A40,Rates!$A$5:$A$84,0))</f>
        <v>10-ft length</v>
      </c>
      <c r="H40" s="14" t="n">
        <f aca="false">INDEX(Rates!$G$5:$G$84,MATCH(A40,Rates!$A$5:$A$84,0))</f>
        <v>10</v>
      </c>
      <c r="I40" s="12" t="n">
        <f aca="false">ROUNDUP(F40/H40,0)*H40</f>
        <v>220</v>
      </c>
      <c r="J40" s="19" t="n">
        <f aca="false">I40/H40</f>
        <v>22</v>
      </c>
      <c r="K40" s="16" t="n">
        <f aca="false">IFERROR(INDEX(Rates!$E$5:$E$84,MATCH(A40,Rates!$A$5:$A$84,0)),0)</f>
        <v>35</v>
      </c>
      <c r="L40" s="7" t="n">
        <f aca="false">I40*K40</f>
        <v>7700</v>
      </c>
      <c r="M40" s="6" t="str">
        <f aca="false">IF(A40="BRK",ROUNDUP(I40/2000,0),IF(OR(A40="SNDC",A40="SNDM",A40="CRS",A40="KHG",A40="EARTH"),ROUNDUP(I40/100,0),""))</f>
        <v/>
      </c>
      <c r="N40" s="14" t="str">
        <f aca="false">INDEX(Rates!$J$5:$J$84,MATCH(A40,Rates!$A$5:$A$84,0))</f>
        <v>Sewer pipes</v>
      </c>
    </row>
    <row r="41" customFormat="false" ht="15" hidden="false" customHeight="false" outlineLevel="0" collapsed="false">
      <c r="A41" s="6" t="s">
        <v>158</v>
      </c>
      <c r="B41" s="14" t="str">
        <f aca="false">INDEX(Rates!$B$5:$B$84,MATCH(A41,Rates!$A$5:$A$84,0))</f>
        <v>Stainless-steel mesh cap for A.C drain outlet</v>
      </c>
      <c r="C41" s="14" t="str">
        <f aca="false">INDEX(Rates!$C$5:$C$84,MATCH(A41,Rates!$A$5:$A$84,0))</f>
        <v>nos</v>
      </c>
      <c r="D41" s="12" t="n">
        <f aca="false">SUMIF(BOQ!$M$5:$M$452,A41,BOQ!$O$5:$O$452)</f>
        <v>10</v>
      </c>
      <c r="E41" s="15" t="n">
        <f aca="false">IFERROR(INDEX(Rates!$D$5:$D$84,MATCH(A41,Rates!$A$5:$A$84,0)),0)</f>
        <v>0</v>
      </c>
      <c r="F41" s="12" t="n">
        <f aca="false">D41*(1+E41)</f>
        <v>10</v>
      </c>
      <c r="G41" s="14" t="str">
        <f aca="false">INDEX(Rates!$F$5:$F$84,MATCH(A41,Rates!$A$5:$A$84,0))</f>
        <v>nos</v>
      </c>
      <c r="H41" s="14" t="n">
        <f aca="false">INDEX(Rates!$G$5:$G$84,MATCH(A41,Rates!$A$5:$A$84,0))</f>
        <v>1</v>
      </c>
      <c r="I41" s="12" t="n">
        <f aca="false">ROUNDUP(F41/H41,0)*H41</f>
        <v>10</v>
      </c>
      <c r="J41" s="19" t="n">
        <f aca="false">I41/H41</f>
        <v>10</v>
      </c>
      <c r="K41" s="16" t="n">
        <f aca="false">IFERROR(INDEX(Rates!$E$5:$E$84,MATCH(A41,Rates!$A$5:$A$84,0)),0)</f>
        <v>350</v>
      </c>
      <c r="L41" s="7" t="n">
        <f aca="false">I41*K41</f>
        <v>3500</v>
      </c>
      <c r="M41" s="6" t="str">
        <f aca="false">IF(A41="BRK",ROUNDUP(I41/2000,0),IF(OR(A41="SNDC",A41="SNDM",A41="CRS",A41="KHG",A41="EARTH"),ROUNDUP(I41/100,0),""))</f>
        <v/>
      </c>
      <c r="N41" s="14" t="str">
        <f aca="false">INDEX(Rates!$J$5:$J$84,MATCH(A41,Rates!$A$5:$A$84,0))</f>
        <v>Sewer pipes</v>
      </c>
    </row>
    <row r="42" customFormat="false" ht="15" hidden="false" customHeight="false" outlineLevel="0" collapsed="false">
      <c r="A42" s="6" t="s">
        <v>160</v>
      </c>
      <c r="B42" s="14" t="str">
        <f aca="false">INDEX(Rates!$B$5:$B$84,MATCH(A42,Rates!$A$5:$A$84,0))</f>
        <v>PPR pipe 1¼" (40 mm) PN-16 (Popular / Dadex / Master)</v>
      </c>
      <c r="C42" s="14" t="str">
        <f aca="false">INDEX(Rates!$C$5:$C$84,MATCH(A42,Rates!$A$5:$A$84,0))</f>
        <v>ft</v>
      </c>
      <c r="D42" s="12" t="n">
        <f aca="false">SUMIF(BOQ!$M$5:$M$452,A42,BOQ!$O$5:$O$452)</f>
        <v>38</v>
      </c>
      <c r="E42" s="15" t="n">
        <f aca="false">IFERROR(INDEX(Rates!$D$5:$D$84,MATCH(A42,Rates!$A$5:$A$84,0)),0)</f>
        <v>0.07</v>
      </c>
      <c r="F42" s="12" t="n">
        <f aca="false">D42*(1+E42)</f>
        <v>40.66</v>
      </c>
      <c r="G42" s="14" t="str">
        <f aca="false">INDEX(Rates!$F$5:$F$84,MATCH(A42,Rates!$A$5:$A$84,0))</f>
        <v>13-ft length</v>
      </c>
      <c r="H42" s="14" t="n">
        <f aca="false">INDEX(Rates!$G$5:$G$84,MATCH(A42,Rates!$A$5:$A$84,0))</f>
        <v>13</v>
      </c>
      <c r="I42" s="12" t="n">
        <f aca="false">ROUNDUP(F42/H42,0)*H42</f>
        <v>52</v>
      </c>
      <c r="J42" s="19" t="n">
        <f aca="false">I42/H42</f>
        <v>4</v>
      </c>
      <c r="K42" s="16" t="n">
        <f aca="false">IFERROR(INDEX(Rates!$E$5:$E$84,MATCH(A42,Rates!$A$5:$A$84,0)),0)</f>
        <v>270</v>
      </c>
      <c r="L42" s="7" t="n">
        <f aca="false">I42*K42</f>
        <v>14040</v>
      </c>
      <c r="M42" s="6" t="str">
        <f aca="false">IF(A42="BRK",ROUNDUP(I42/2000,0),IF(OR(A42="SNDC",A42="SNDM",A42="CRS",A42="KHG",A42="EARTH"),ROUNDUP(I42/100,0),""))</f>
        <v/>
      </c>
      <c r="N42" s="14" t="str">
        <f aca="false">INDEX(Rates!$J$5:$J$84,MATCH(A42,Rates!$A$5:$A$84,0))</f>
        <v>Water pipes</v>
      </c>
    </row>
    <row r="43" customFormat="false" ht="15" hidden="false" customHeight="false" outlineLevel="0" collapsed="false">
      <c r="A43" s="6" t="s">
        <v>166</v>
      </c>
      <c r="B43" s="14" t="str">
        <f aca="false">INDEX(Rates!$B$5:$B$84,MATCH(A43,Rates!$A$5:$A$84,0))</f>
        <v>PPR pipe 1" (32 mm) PN-16</v>
      </c>
      <c r="C43" s="14" t="str">
        <f aca="false">INDEX(Rates!$C$5:$C$84,MATCH(A43,Rates!$A$5:$A$84,0))</f>
        <v>ft</v>
      </c>
      <c r="D43" s="12" t="n">
        <f aca="false">SUMIF(BOQ!$M$5:$M$452,A43,BOQ!$O$5:$O$452)</f>
        <v>93</v>
      </c>
      <c r="E43" s="15" t="n">
        <f aca="false">IFERROR(INDEX(Rates!$D$5:$D$84,MATCH(A43,Rates!$A$5:$A$84,0)),0)</f>
        <v>0.07</v>
      </c>
      <c r="F43" s="12" t="n">
        <f aca="false">D43*(1+E43)</f>
        <v>99.51</v>
      </c>
      <c r="G43" s="14" t="str">
        <f aca="false">INDEX(Rates!$F$5:$F$84,MATCH(A43,Rates!$A$5:$A$84,0))</f>
        <v>13-ft length</v>
      </c>
      <c r="H43" s="14" t="n">
        <f aca="false">INDEX(Rates!$G$5:$G$84,MATCH(A43,Rates!$A$5:$A$84,0))</f>
        <v>13</v>
      </c>
      <c r="I43" s="12" t="n">
        <f aca="false">ROUNDUP(F43/H43,0)*H43</f>
        <v>104</v>
      </c>
      <c r="J43" s="19" t="n">
        <f aca="false">I43/H43</f>
        <v>8</v>
      </c>
      <c r="K43" s="16" t="n">
        <f aca="false">IFERROR(INDEX(Rates!$E$5:$E$84,MATCH(A43,Rates!$A$5:$A$84,0)),0)</f>
        <v>175</v>
      </c>
      <c r="L43" s="7" t="n">
        <f aca="false">I43*K43</f>
        <v>18200</v>
      </c>
      <c r="M43" s="6" t="str">
        <f aca="false">IF(A43="BRK",ROUNDUP(I43/2000,0),IF(OR(A43="SNDC",A43="SNDM",A43="CRS",A43="KHG",A43="EARTH"),ROUNDUP(I43/100,0),""))</f>
        <v/>
      </c>
      <c r="N43" s="14" t="str">
        <f aca="false">INDEX(Rates!$J$5:$J$84,MATCH(A43,Rates!$A$5:$A$84,0))</f>
        <v>Water pipes</v>
      </c>
    </row>
    <row r="44" customFormat="false" ht="15" hidden="false" customHeight="false" outlineLevel="0" collapsed="false">
      <c r="A44" s="6" t="s">
        <v>169</v>
      </c>
      <c r="B44" s="14" t="str">
        <f aca="false">INDEX(Rates!$B$5:$B$84,MATCH(A44,Rates!$A$5:$A$84,0))</f>
        <v>PPR pipe ¾" (25 mm) PN-16, cold</v>
      </c>
      <c r="C44" s="14" t="str">
        <f aca="false">INDEX(Rates!$C$5:$C$84,MATCH(A44,Rates!$A$5:$A$84,0))</f>
        <v>ft</v>
      </c>
      <c r="D44" s="12" t="n">
        <f aca="false">SUMIF(BOQ!$M$5:$M$452,A44,BOQ!$O$5:$O$452)</f>
        <v>430</v>
      </c>
      <c r="E44" s="15" t="n">
        <f aca="false">IFERROR(INDEX(Rates!$D$5:$D$84,MATCH(A44,Rates!$A$5:$A$84,0)),0)</f>
        <v>0.07</v>
      </c>
      <c r="F44" s="12" t="n">
        <f aca="false">D44*(1+E44)</f>
        <v>460.1</v>
      </c>
      <c r="G44" s="14" t="str">
        <f aca="false">INDEX(Rates!$F$5:$F$84,MATCH(A44,Rates!$A$5:$A$84,0))</f>
        <v>13-ft length</v>
      </c>
      <c r="H44" s="14" t="n">
        <f aca="false">INDEX(Rates!$G$5:$G$84,MATCH(A44,Rates!$A$5:$A$84,0))</f>
        <v>13</v>
      </c>
      <c r="I44" s="12" t="n">
        <f aca="false">ROUNDUP(F44/H44,0)*H44</f>
        <v>468</v>
      </c>
      <c r="J44" s="19" t="n">
        <f aca="false">I44/H44</f>
        <v>36</v>
      </c>
      <c r="K44" s="16" t="n">
        <f aca="false">IFERROR(INDEX(Rates!$E$5:$E$84,MATCH(A44,Rates!$A$5:$A$84,0)),0)</f>
        <v>110</v>
      </c>
      <c r="L44" s="7" t="n">
        <f aca="false">I44*K44</f>
        <v>51480</v>
      </c>
      <c r="M44" s="6" t="str">
        <f aca="false">IF(A44="BRK",ROUNDUP(I44/2000,0),IF(OR(A44="SNDC",A44="SNDM",A44="CRS",A44="KHG",A44="EARTH"),ROUNDUP(I44/100,0),""))</f>
        <v/>
      </c>
      <c r="N44" s="14" t="str">
        <f aca="false">INDEX(Rates!$J$5:$J$84,MATCH(A44,Rates!$A$5:$A$84,0))</f>
        <v>Water pipes</v>
      </c>
    </row>
    <row r="45" customFormat="false" ht="15" hidden="false" customHeight="false" outlineLevel="0" collapsed="false">
      <c r="A45" s="6" t="s">
        <v>172</v>
      </c>
      <c r="B45" s="14" t="str">
        <f aca="false">INDEX(Rates!$B$5:$B$84,MATCH(A45,Rates!$A$5:$A$84,0))</f>
        <v>PPR pipe ½" (20 mm) PN-16, cold</v>
      </c>
      <c r="C45" s="14" t="str">
        <f aca="false">INDEX(Rates!$C$5:$C$84,MATCH(A45,Rates!$A$5:$A$84,0))</f>
        <v>ft</v>
      </c>
      <c r="D45" s="12" t="n">
        <f aca="false">SUMIF(BOQ!$M$5:$M$452,A45,BOQ!$O$5:$O$452)</f>
        <v>140</v>
      </c>
      <c r="E45" s="15" t="n">
        <f aca="false">IFERROR(INDEX(Rates!$D$5:$D$84,MATCH(A45,Rates!$A$5:$A$84,0)),0)</f>
        <v>0.07</v>
      </c>
      <c r="F45" s="12" t="n">
        <f aca="false">D45*(1+E45)</f>
        <v>149.8</v>
      </c>
      <c r="G45" s="14" t="str">
        <f aca="false">INDEX(Rates!$F$5:$F$84,MATCH(A45,Rates!$A$5:$A$84,0))</f>
        <v>13-ft length</v>
      </c>
      <c r="H45" s="14" t="n">
        <f aca="false">INDEX(Rates!$G$5:$G$84,MATCH(A45,Rates!$A$5:$A$84,0))</f>
        <v>13</v>
      </c>
      <c r="I45" s="12" t="n">
        <f aca="false">ROUNDUP(F45/H45,0)*H45</f>
        <v>156</v>
      </c>
      <c r="J45" s="19" t="n">
        <f aca="false">I45/H45</f>
        <v>12</v>
      </c>
      <c r="K45" s="16" t="n">
        <f aca="false">IFERROR(INDEX(Rates!$E$5:$E$84,MATCH(A45,Rates!$A$5:$A$84,0)),0)</f>
        <v>70</v>
      </c>
      <c r="L45" s="7" t="n">
        <f aca="false">I45*K45</f>
        <v>10920</v>
      </c>
      <c r="M45" s="6" t="str">
        <f aca="false">IF(A45="BRK",ROUNDUP(I45/2000,0),IF(OR(A45="SNDC",A45="SNDM",A45="CRS",A45="KHG",A45="EARTH"),ROUNDUP(I45/100,0),""))</f>
        <v/>
      </c>
      <c r="N45" s="14" t="str">
        <f aca="false">INDEX(Rates!$J$5:$J$84,MATCH(A45,Rates!$A$5:$A$84,0))</f>
        <v>Water pipes</v>
      </c>
    </row>
    <row r="46" customFormat="false" ht="15" hidden="false" customHeight="false" outlineLevel="0" collapsed="false">
      <c r="A46" s="6" t="s">
        <v>175</v>
      </c>
      <c r="B46" s="14" t="str">
        <f aca="false">INDEX(Rates!$B$5:$B$84,MATCH(A46,Rates!$A$5:$A$84,0))</f>
        <v>PPR pipe ¾" (25 mm) PN-20, hot</v>
      </c>
      <c r="C46" s="14" t="str">
        <f aca="false">INDEX(Rates!$C$5:$C$84,MATCH(A46,Rates!$A$5:$A$84,0))</f>
        <v>ft</v>
      </c>
      <c r="D46" s="12" t="n">
        <f aca="false">SUMIF(BOQ!$M$5:$M$452,A46,BOQ!$O$5:$O$452)</f>
        <v>360</v>
      </c>
      <c r="E46" s="15" t="n">
        <f aca="false">IFERROR(INDEX(Rates!$D$5:$D$84,MATCH(A46,Rates!$A$5:$A$84,0)),0)</f>
        <v>0.07</v>
      </c>
      <c r="F46" s="12" t="n">
        <f aca="false">D46*(1+E46)</f>
        <v>385.2</v>
      </c>
      <c r="G46" s="14" t="str">
        <f aca="false">INDEX(Rates!$F$5:$F$84,MATCH(A46,Rates!$A$5:$A$84,0))</f>
        <v>13-ft length</v>
      </c>
      <c r="H46" s="14" t="n">
        <f aca="false">INDEX(Rates!$G$5:$G$84,MATCH(A46,Rates!$A$5:$A$84,0))</f>
        <v>13</v>
      </c>
      <c r="I46" s="12" t="n">
        <f aca="false">ROUNDUP(F46/H46,0)*H46</f>
        <v>390</v>
      </c>
      <c r="J46" s="19" t="n">
        <f aca="false">I46/H46</f>
        <v>30</v>
      </c>
      <c r="K46" s="16" t="n">
        <f aca="false">IFERROR(INDEX(Rates!$E$5:$E$84,MATCH(A46,Rates!$A$5:$A$84,0)),0)</f>
        <v>135</v>
      </c>
      <c r="L46" s="7" t="n">
        <f aca="false">I46*K46</f>
        <v>52650</v>
      </c>
      <c r="M46" s="6" t="str">
        <f aca="false">IF(A46="BRK",ROUNDUP(I46/2000,0),IF(OR(A46="SNDC",A46="SNDM",A46="CRS",A46="KHG",A46="EARTH"),ROUNDUP(I46/100,0),""))</f>
        <v/>
      </c>
      <c r="N46" s="14" t="str">
        <f aca="false">INDEX(Rates!$J$5:$J$84,MATCH(A46,Rates!$A$5:$A$84,0))</f>
        <v>Water pipes</v>
      </c>
    </row>
    <row r="47" customFormat="false" ht="15" hidden="false" customHeight="false" outlineLevel="0" collapsed="false">
      <c r="A47" s="6" t="s">
        <v>178</v>
      </c>
      <c r="B47" s="14" t="str">
        <f aca="false">INDEX(Rates!$B$5:$B$84,MATCH(A47,Rates!$A$5:$A$84,0))</f>
        <v>PPR pipe ½" (20 mm) PN-20, hot</v>
      </c>
      <c r="C47" s="14" t="str">
        <f aca="false">INDEX(Rates!$C$5:$C$84,MATCH(A47,Rates!$A$5:$A$84,0))</f>
        <v>ft</v>
      </c>
      <c r="D47" s="12" t="n">
        <f aca="false">SUMIF(BOQ!$M$5:$M$452,A47,BOQ!$O$5:$O$452)</f>
        <v>80</v>
      </c>
      <c r="E47" s="15" t="n">
        <f aca="false">IFERROR(INDEX(Rates!$D$5:$D$84,MATCH(A47,Rates!$A$5:$A$84,0)),0)</f>
        <v>0.07</v>
      </c>
      <c r="F47" s="12" t="n">
        <f aca="false">D47*(1+E47)</f>
        <v>85.6</v>
      </c>
      <c r="G47" s="14" t="str">
        <f aca="false">INDEX(Rates!$F$5:$F$84,MATCH(A47,Rates!$A$5:$A$84,0))</f>
        <v>13-ft length</v>
      </c>
      <c r="H47" s="14" t="n">
        <f aca="false">INDEX(Rates!$G$5:$G$84,MATCH(A47,Rates!$A$5:$A$84,0))</f>
        <v>13</v>
      </c>
      <c r="I47" s="12" t="n">
        <f aca="false">ROUNDUP(F47/H47,0)*H47</f>
        <v>91</v>
      </c>
      <c r="J47" s="19" t="n">
        <f aca="false">I47/H47</f>
        <v>7</v>
      </c>
      <c r="K47" s="16" t="n">
        <f aca="false">IFERROR(INDEX(Rates!$E$5:$E$84,MATCH(A47,Rates!$A$5:$A$84,0)),0)</f>
        <v>85</v>
      </c>
      <c r="L47" s="7" t="n">
        <f aca="false">I47*K47</f>
        <v>7735</v>
      </c>
      <c r="M47" s="6" t="str">
        <f aca="false">IF(A47="BRK",ROUNDUP(I47/2000,0),IF(OR(A47="SNDC",A47="SNDM",A47="CRS",A47="KHG",A47="EARTH"),ROUNDUP(I47/100,0),""))</f>
        <v/>
      </c>
      <c r="N47" s="14" t="str">
        <f aca="false">INDEX(Rates!$J$5:$J$84,MATCH(A47,Rates!$A$5:$A$84,0))</f>
        <v>Water pipes</v>
      </c>
    </row>
    <row r="48" customFormat="false" ht="15" hidden="false" customHeight="false" outlineLevel="0" collapsed="false">
      <c r="A48" s="6" t="s">
        <v>180</v>
      </c>
      <c r="B48" s="14" t="str">
        <f aca="false">INDEX(Rates!$B$5:$B$84,MATCH(A48,Rates!$A$5:$A$84,0))</f>
        <v>GI pipe medium class ½"-¾" for gas (SNGPL-approved)</v>
      </c>
      <c r="C48" s="14" t="str">
        <f aca="false">INDEX(Rates!$C$5:$C$84,MATCH(A48,Rates!$A$5:$A$84,0))</f>
        <v>ft</v>
      </c>
      <c r="D48" s="12" t="n">
        <f aca="false">SUMIF(BOQ!$M$5:$M$452,A48,BOQ!$O$5:$O$452)</f>
        <v>189.8</v>
      </c>
      <c r="E48" s="15" t="n">
        <f aca="false">IFERROR(INDEX(Rates!$D$5:$D$84,MATCH(A48,Rates!$A$5:$A$84,0)),0)</f>
        <v>0.07</v>
      </c>
      <c r="F48" s="12" t="n">
        <f aca="false">D48*(1+E48)</f>
        <v>203.086</v>
      </c>
      <c r="G48" s="14" t="str">
        <f aca="false">INDEX(Rates!$F$5:$F$84,MATCH(A48,Rates!$A$5:$A$84,0))</f>
        <v>20-ft length</v>
      </c>
      <c r="H48" s="14" t="n">
        <f aca="false">INDEX(Rates!$G$5:$G$84,MATCH(A48,Rates!$A$5:$A$84,0))</f>
        <v>20</v>
      </c>
      <c r="I48" s="12" t="n">
        <f aca="false">ROUNDUP(F48/H48,0)*H48</f>
        <v>220</v>
      </c>
      <c r="J48" s="19" t="n">
        <f aca="false">I48/H48</f>
        <v>11</v>
      </c>
      <c r="K48" s="16" t="n">
        <f aca="false">IFERROR(INDEX(Rates!$E$5:$E$84,MATCH(A48,Rates!$A$5:$A$84,0)),0)</f>
        <v>260</v>
      </c>
      <c r="L48" s="7" t="n">
        <f aca="false">I48*K48</f>
        <v>57200</v>
      </c>
      <c r="M48" s="6" t="str">
        <f aca="false">IF(A48="BRK",ROUNDUP(I48/2000,0),IF(OR(A48="SNDC",A48="SNDM",A48="CRS",A48="KHG",A48="EARTH"),ROUNDUP(I48/100,0),""))</f>
        <v/>
      </c>
      <c r="N48" s="14" t="str">
        <f aca="false">INDEX(Rates!$J$5:$J$84,MATCH(A48,Rates!$A$5:$A$84,0))</f>
        <v>Gas pipes</v>
      </c>
    </row>
    <row r="49" customFormat="false" ht="15" hidden="false" customHeight="false" outlineLevel="0" collapsed="false">
      <c r="A49" s="6" t="s">
        <v>183</v>
      </c>
      <c r="B49" s="14" t="str">
        <f aca="false">INDEX(Rates!$B$5:$B$84,MATCH(A49,Rates!$A$5:$A$84,0))</f>
        <v>PPR fittings (average)</v>
      </c>
      <c r="C49" s="14" t="str">
        <f aca="false">INDEX(Rates!$C$5:$C$84,MATCH(A49,Rates!$A$5:$A$84,0))</f>
        <v>nos</v>
      </c>
      <c r="D49" s="12" t="n">
        <f aca="false">SUMIF(BOQ!$M$5:$M$452,A49,BOQ!$O$5:$O$452)</f>
        <v>335</v>
      </c>
      <c r="E49" s="15" t="n">
        <f aca="false">IFERROR(INDEX(Rates!$D$5:$D$84,MATCH(A49,Rates!$A$5:$A$84,0)),0)</f>
        <v>0</v>
      </c>
      <c r="F49" s="12" t="n">
        <f aca="false">D49*(1+E49)</f>
        <v>335</v>
      </c>
      <c r="G49" s="14" t="str">
        <f aca="false">INDEX(Rates!$F$5:$F$84,MATCH(A49,Rates!$A$5:$A$84,0))</f>
        <v>nos</v>
      </c>
      <c r="H49" s="14" t="n">
        <f aca="false">INDEX(Rates!$G$5:$G$84,MATCH(A49,Rates!$A$5:$A$84,0))</f>
        <v>1</v>
      </c>
      <c r="I49" s="12" t="n">
        <f aca="false">ROUNDUP(F49/H49,0)*H49</f>
        <v>335</v>
      </c>
      <c r="J49" s="19" t="n">
        <f aca="false">I49/H49</f>
        <v>335</v>
      </c>
      <c r="K49" s="16" t="n">
        <f aca="false">IFERROR(INDEX(Rates!$E$5:$E$84,MATCH(A49,Rates!$A$5:$A$84,0)),0)</f>
        <v>120</v>
      </c>
      <c r="L49" s="7" t="n">
        <f aca="false">I49*K49</f>
        <v>40200</v>
      </c>
      <c r="M49" s="6" t="str">
        <f aca="false">IF(A49="BRK",ROUNDUP(I49/2000,0),IF(OR(A49="SNDC",A49="SNDM",A49="CRS",A49="KHG",A49="EARTH"),ROUNDUP(I49/100,0),""))</f>
        <v/>
      </c>
      <c r="N49" s="14" t="str">
        <f aca="false">INDEX(Rates!$J$5:$J$84,MATCH(A49,Rates!$A$5:$A$84,0))</f>
        <v>Water pipes</v>
      </c>
    </row>
    <row r="50" customFormat="false" ht="15" hidden="false" customHeight="false" outlineLevel="0" collapsed="false">
      <c r="A50" s="6" t="s">
        <v>185</v>
      </c>
      <c r="B50" s="14" t="str">
        <f aca="false">INDEX(Rates!$B$5:$B$84,MATCH(A50,Rates!$A$5:$A$84,0))</f>
        <v>Ball / gate valves (average)</v>
      </c>
      <c r="C50" s="14" t="str">
        <f aca="false">INDEX(Rates!$C$5:$C$84,MATCH(A50,Rates!$A$5:$A$84,0))</f>
        <v>nos</v>
      </c>
      <c r="D50" s="12" t="n">
        <f aca="false">SUMIF(BOQ!$M$5:$M$452,A50,BOQ!$O$5:$O$452)</f>
        <v>24</v>
      </c>
      <c r="E50" s="15" t="n">
        <f aca="false">IFERROR(INDEX(Rates!$D$5:$D$84,MATCH(A50,Rates!$A$5:$A$84,0)),0)</f>
        <v>0</v>
      </c>
      <c r="F50" s="12" t="n">
        <f aca="false">D50*(1+E50)</f>
        <v>24</v>
      </c>
      <c r="G50" s="14" t="str">
        <f aca="false">INDEX(Rates!$F$5:$F$84,MATCH(A50,Rates!$A$5:$A$84,0))</f>
        <v>nos</v>
      </c>
      <c r="H50" s="14" t="n">
        <f aca="false">INDEX(Rates!$G$5:$G$84,MATCH(A50,Rates!$A$5:$A$84,0))</f>
        <v>1</v>
      </c>
      <c r="I50" s="12" t="n">
        <f aca="false">ROUNDUP(F50/H50,0)*H50</f>
        <v>24</v>
      </c>
      <c r="J50" s="19" t="n">
        <f aca="false">I50/H50</f>
        <v>24</v>
      </c>
      <c r="K50" s="16" t="n">
        <f aca="false">IFERROR(INDEX(Rates!$E$5:$E$84,MATCH(A50,Rates!$A$5:$A$84,0)),0)</f>
        <v>900</v>
      </c>
      <c r="L50" s="7" t="n">
        <f aca="false">I50*K50</f>
        <v>21600</v>
      </c>
      <c r="M50" s="6" t="str">
        <f aca="false">IF(A50="BRK",ROUNDUP(I50/2000,0),IF(OR(A50="SNDC",A50="SNDM",A50="CRS",A50="KHG",A50="EARTH"),ROUNDUP(I50/100,0),""))</f>
        <v/>
      </c>
      <c r="N50" s="14" t="str">
        <f aca="false">INDEX(Rates!$J$5:$J$84,MATCH(A50,Rates!$A$5:$A$84,0))</f>
        <v>Water pipes</v>
      </c>
    </row>
    <row r="51" customFormat="false" ht="15" hidden="false" customHeight="false" outlineLevel="0" collapsed="false">
      <c r="A51" s="6" t="s">
        <v>187</v>
      </c>
      <c r="B51" s="14" t="str">
        <f aca="false">INDEX(Rates!$B$5:$B$84,MATCH(A51,Rates!$A$5:$A$84,0))</f>
        <v>Float valve ¾" for underground tank</v>
      </c>
      <c r="C51" s="14" t="str">
        <f aca="false">INDEX(Rates!$C$5:$C$84,MATCH(A51,Rates!$A$5:$A$84,0))</f>
        <v>nos</v>
      </c>
      <c r="D51" s="12" t="n">
        <f aca="false">SUMIF(BOQ!$M$5:$M$452,A51,BOQ!$O$5:$O$452)</f>
        <v>1</v>
      </c>
      <c r="E51" s="15" t="n">
        <f aca="false">IFERROR(INDEX(Rates!$D$5:$D$84,MATCH(A51,Rates!$A$5:$A$84,0)),0)</f>
        <v>0</v>
      </c>
      <c r="F51" s="12" t="n">
        <f aca="false">D51*(1+E51)</f>
        <v>1</v>
      </c>
      <c r="G51" s="14" t="str">
        <f aca="false">INDEX(Rates!$F$5:$F$84,MATCH(A51,Rates!$A$5:$A$84,0))</f>
        <v>nos</v>
      </c>
      <c r="H51" s="14" t="n">
        <f aca="false">INDEX(Rates!$G$5:$G$84,MATCH(A51,Rates!$A$5:$A$84,0))</f>
        <v>1</v>
      </c>
      <c r="I51" s="12" t="n">
        <f aca="false">ROUNDUP(F51/H51,0)*H51</f>
        <v>1</v>
      </c>
      <c r="J51" s="19" t="n">
        <f aca="false">I51/H51</f>
        <v>1</v>
      </c>
      <c r="K51" s="16" t="n">
        <f aca="false">IFERROR(INDEX(Rates!$E$5:$E$84,MATCH(A51,Rates!$A$5:$A$84,0)),0)</f>
        <v>2500</v>
      </c>
      <c r="L51" s="7" t="n">
        <f aca="false">I51*K51</f>
        <v>2500</v>
      </c>
      <c r="M51" s="6" t="str">
        <f aca="false">IF(A51="BRK",ROUNDUP(I51/2000,0),IF(OR(A51="SNDC",A51="SNDM",A51="CRS",A51="KHG",A51="EARTH"),ROUNDUP(I51/100,0),""))</f>
        <v/>
      </c>
      <c r="N51" s="14" t="str">
        <f aca="false">INDEX(Rates!$J$5:$J$84,MATCH(A51,Rates!$A$5:$A$84,0))</f>
        <v>Water pipes</v>
      </c>
    </row>
    <row r="52" customFormat="false" ht="15" hidden="false" customHeight="false" outlineLevel="0" collapsed="false">
      <c r="A52" s="6" t="s">
        <v>189</v>
      </c>
      <c r="B52" s="14" t="str">
        <f aca="false">INDEX(Rates!$B$5:$B$84,MATCH(A52,Rates!$A$5:$A$84,0))</f>
        <v>GI fittings ½"-¾"</v>
      </c>
      <c r="C52" s="14" t="str">
        <f aca="false">INDEX(Rates!$C$5:$C$84,MATCH(A52,Rates!$A$5:$A$84,0))</f>
        <v>nos</v>
      </c>
      <c r="D52" s="12" t="n">
        <f aca="false">SUMIF(BOQ!$M$5:$M$452,A52,BOQ!$O$5:$O$452)</f>
        <v>36</v>
      </c>
      <c r="E52" s="15" t="n">
        <f aca="false">IFERROR(INDEX(Rates!$D$5:$D$84,MATCH(A52,Rates!$A$5:$A$84,0)),0)</f>
        <v>0</v>
      </c>
      <c r="F52" s="12" t="n">
        <f aca="false">D52*(1+E52)</f>
        <v>36</v>
      </c>
      <c r="G52" s="14" t="str">
        <f aca="false">INDEX(Rates!$F$5:$F$84,MATCH(A52,Rates!$A$5:$A$84,0))</f>
        <v>nos</v>
      </c>
      <c r="H52" s="14" t="n">
        <f aca="false">INDEX(Rates!$G$5:$G$84,MATCH(A52,Rates!$A$5:$A$84,0))</f>
        <v>1</v>
      </c>
      <c r="I52" s="12" t="n">
        <f aca="false">ROUNDUP(F52/H52,0)*H52</f>
        <v>36</v>
      </c>
      <c r="J52" s="19" t="n">
        <f aca="false">I52/H52</f>
        <v>36</v>
      </c>
      <c r="K52" s="16" t="n">
        <f aca="false">IFERROR(INDEX(Rates!$E$5:$E$84,MATCH(A52,Rates!$A$5:$A$84,0)),0)</f>
        <v>250</v>
      </c>
      <c r="L52" s="7" t="n">
        <f aca="false">I52*K52</f>
        <v>9000</v>
      </c>
      <c r="M52" s="6" t="str">
        <f aca="false">IF(A52="BRK",ROUNDUP(I52/2000,0),IF(OR(A52="SNDC",A52="SNDM",A52="CRS",A52="KHG",A52="EARTH"),ROUNDUP(I52/100,0),""))</f>
        <v/>
      </c>
      <c r="N52" s="14" t="str">
        <f aca="false">INDEX(Rates!$J$5:$J$84,MATCH(A52,Rates!$A$5:$A$84,0))</f>
        <v>Gas pipes</v>
      </c>
    </row>
    <row r="53" customFormat="false" ht="15" hidden="false" customHeight="false" outlineLevel="0" collapsed="false">
      <c r="A53" s="6" t="s">
        <v>191</v>
      </c>
      <c r="B53" s="14" t="str">
        <f aca="false">INDEX(Rates!$B$5:$B$84,MATCH(A53,Rates!$A$5:$A$84,0))</f>
        <v>PVC conduit ¾" heavy gauge</v>
      </c>
      <c r="C53" s="14" t="str">
        <f aca="false">INDEX(Rates!$C$5:$C$84,MATCH(A53,Rates!$A$5:$A$84,0))</f>
        <v>ft</v>
      </c>
      <c r="D53" s="12" t="n">
        <f aca="false">SUMIF(BOQ!$M$5:$M$452,A53,BOQ!$O$5:$O$452)</f>
        <v>2662</v>
      </c>
      <c r="E53" s="15" t="n">
        <f aca="false">IFERROR(INDEX(Rates!$D$5:$D$84,MATCH(A53,Rates!$A$5:$A$84,0)),0)</f>
        <v>0.07</v>
      </c>
      <c r="F53" s="12" t="n">
        <f aca="false">D53*(1+E53)</f>
        <v>2848.34</v>
      </c>
      <c r="G53" s="14" t="str">
        <f aca="false">INDEX(Rates!$F$5:$F$84,MATCH(A53,Rates!$A$5:$A$84,0))</f>
        <v>10-ft length</v>
      </c>
      <c r="H53" s="14" t="n">
        <f aca="false">INDEX(Rates!$G$5:$G$84,MATCH(A53,Rates!$A$5:$A$84,0))</f>
        <v>10</v>
      </c>
      <c r="I53" s="12" t="n">
        <f aca="false">ROUNDUP(F53/H53,0)*H53</f>
        <v>2850</v>
      </c>
      <c r="J53" s="19" t="n">
        <f aca="false">I53/H53</f>
        <v>285</v>
      </c>
      <c r="K53" s="16" t="n">
        <f aca="false">IFERROR(INDEX(Rates!$E$5:$E$84,MATCH(A53,Rates!$A$5:$A$84,0)),0)</f>
        <v>25</v>
      </c>
      <c r="L53" s="7" t="n">
        <f aca="false">I53*K53</f>
        <v>71250</v>
      </c>
      <c r="M53" s="6" t="str">
        <f aca="false">IF(A53="BRK",ROUNDUP(I53/2000,0),IF(OR(A53="SNDC",A53="SNDM",A53="CRS",A53="KHG",A53="EARTH"),ROUNDUP(I53/100,0),""))</f>
        <v/>
      </c>
      <c r="N53" s="14" t="str">
        <f aca="false">INDEX(Rates!$J$5:$J$84,MATCH(A53,Rates!$A$5:$A$84,0))</f>
        <v>Electrical</v>
      </c>
    </row>
    <row r="54" customFormat="false" ht="15" hidden="false" customHeight="false" outlineLevel="0" collapsed="false">
      <c r="A54" s="6" t="s">
        <v>194</v>
      </c>
      <c r="B54" s="14" t="str">
        <f aca="false">INDEX(Rates!$B$5:$B$84,MATCH(A54,Rates!$A$5:$A$84,0))</f>
        <v>PVC conduit 1" heavy gauge</v>
      </c>
      <c r="C54" s="14" t="str">
        <f aca="false">INDEX(Rates!$C$5:$C$84,MATCH(A54,Rates!$A$5:$A$84,0))</f>
        <v>ft</v>
      </c>
      <c r="D54" s="12" t="n">
        <f aca="false">SUMIF(BOQ!$M$5:$M$452,A54,BOQ!$O$5:$O$452)</f>
        <v>1575</v>
      </c>
      <c r="E54" s="15" t="n">
        <f aca="false">IFERROR(INDEX(Rates!$D$5:$D$84,MATCH(A54,Rates!$A$5:$A$84,0)),0)</f>
        <v>0.07</v>
      </c>
      <c r="F54" s="12" t="n">
        <f aca="false">D54*(1+E54)</f>
        <v>1685.25</v>
      </c>
      <c r="G54" s="14" t="str">
        <f aca="false">INDEX(Rates!$F$5:$F$84,MATCH(A54,Rates!$A$5:$A$84,0))</f>
        <v>10-ft length</v>
      </c>
      <c r="H54" s="14" t="n">
        <f aca="false">INDEX(Rates!$G$5:$G$84,MATCH(A54,Rates!$A$5:$A$84,0))</f>
        <v>10</v>
      </c>
      <c r="I54" s="12" t="n">
        <f aca="false">ROUNDUP(F54/H54,0)*H54</f>
        <v>1690</v>
      </c>
      <c r="J54" s="19" t="n">
        <f aca="false">I54/H54</f>
        <v>169</v>
      </c>
      <c r="K54" s="16" t="n">
        <f aca="false">IFERROR(INDEX(Rates!$E$5:$E$84,MATCH(A54,Rates!$A$5:$A$84,0)),0)</f>
        <v>38</v>
      </c>
      <c r="L54" s="7" t="n">
        <f aca="false">I54*K54</f>
        <v>64220</v>
      </c>
      <c r="M54" s="6" t="str">
        <f aca="false">IF(A54="BRK",ROUNDUP(I54/2000,0),IF(OR(A54="SNDC",A54="SNDM",A54="CRS",A54="KHG",A54="EARTH"),ROUNDUP(I54/100,0),""))</f>
        <v/>
      </c>
      <c r="N54" s="14" t="str">
        <f aca="false">INDEX(Rates!$J$5:$J$84,MATCH(A54,Rates!$A$5:$A$84,0))</f>
        <v>Electrical</v>
      </c>
    </row>
    <row r="55" customFormat="false" ht="15" hidden="false" customHeight="false" outlineLevel="0" collapsed="false">
      <c r="A55" s="6" t="s">
        <v>196</v>
      </c>
      <c r="B55" s="14" t="str">
        <f aca="false">INDEX(Rates!$B$5:$B$84,MATCH(A55,Rates!$A$5:$A$84,0))</f>
        <v>PVC conduit 1¼" heavy gauge</v>
      </c>
      <c r="C55" s="14" t="str">
        <f aca="false">INDEX(Rates!$C$5:$C$84,MATCH(A55,Rates!$A$5:$A$84,0))</f>
        <v>ft</v>
      </c>
      <c r="D55" s="12" t="n">
        <f aca="false">SUMIF(BOQ!$M$5:$M$452,A55,BOQ!$O$5:$O$452)</f>
        <v>172</v>
      </c>
      <c r="E55" s="15" t="n">
        <f aca="false">IFERROR(INDEX(Rates!$D$5:$D$84,MATCH(A55,Rates!$A$5:$A$84,0)),0)</f>
        <v>0.07</v>
      </c>
      <c r="F55" s="12" t="n">
        <f aca="false">D55*(1+E55)</f>
        <v>184.04</v>
      </c>
      <c r="G55" s="14" t="str">
        <f aca="false">INDEX(Rates!$F$5:$F$84,MATCH(A55,Rates!$A$5:$A$84,0))</f>
        <v>10-ft length</v>
      </c>
      <c r="H55" s="14" t="n">
        <f aca="false">INDEX(Rates!$G$5:$G$84,MATCH(A55,Rates!$A$5:$A$84,0))</f>
        <v>10</v>
      </c>
      <c r="I55" s="12" t="n">
        <f aca="false">ROUNDUP(F55/H55,0)*H55</f>
        <v>190</v>
      </c>
      <c r="J55" s="19" t="n">
        <f aca="false">I55/H55</f>
        <v>19</v>
      </c>
      <c r="K55" s="16" t="n">
        <f aca="false">IFERROR(INDEX(Rates!$E$5:$E$84,MATCH(A55,Rates!$A$5:$A$84,0)),0)</f>
        <v>56</v>
      </c>
      <c r="L55" s="7" t="n">
        <f aca="false">I55*K55</f>
        <v>10640</v>
      </c>
      <c r="M55" s="6" t="str">
        <f aca="false">IF(A55="BRK",ROUNDUP(I55/2000,0),IF(OR(A55="SNDC",A55="SNDM",A55="CRS",A55="KHG",A55="EARTH"),ROUNDUP(I55/100,0),""))</f>
        <v/>
      </c>
      <c r="N55" s="14" t="str">
        <f aca="false">INDEX(Rates!$J$5:$J$84,MATCH(A55,Rates!$A$5:$A$84,0))</f>
        <v>Electrical</v>
      </c>
    </row>
    <row r="56" customFormat="false" ht="15" hidden="false" customHeight="false" outlineLevel="0" collapsed="false">
      <c r="A56" s="6" t="s">
        <v>198</v>
      </c>
      <c r="B56" s="14" t="str">
        <f aca="false">INDEX(Rates!$B$5:$B$84,MATCH(A56,Rates!$A$5:$A$84,0))</f>
        <v>PVC conduit 1½" heavy gauge</v>
      </c>
      <c r="C56" s="14" t="str">
        <f aca="false">INDEX(Rates!$C$5:$C$84,MATCH(A56,Rates!$A$5:$A$84,0))</f>
        <v>ft</v>
      </c>
      <c r="D56" s="12" t="n">
        <f aca="false">SUMIF(BOQ!$M$5:$M$452,A56,BOQ!$O$5:$O$452)</f>
        <v>120</v>
      </c>
      <c r="E56" s="15" t="n">
        <f aca="false">IFERROR(INDEX(Rates!$D$5:$D$84,MATCH(A56,Rates!$A$5:$A$84,0)),0)</f>
        <v>0.07</v>
      </c>
      <c r="F56" s="12" t="n">
        <f aca="false">D56*(1+E56)</f>
        <v>128.4</v>
      </c>
      <c r="G56" s="14" t="str">
        <f aca="false">INDEX(Rates!$F$5:$F$84,MATCH(A56,Rates!$A$5:$A$84,0))</f>
        <v>10-ft length</v>
      </c>
      <c r="H56" s="14" t="n">
        <f aca="false">INDEX(Rates!$G$5:$G$84,MATCH(A56,Rates!$A$5:$A$84,0))</f>
        <v>10</v>
      </c>
      <c r="I56" s="12" t="n">
        <f aca="false">ROUNDUP(F56/H56,0)*H56</f>
        <v>130</v>
      </c>
      <c r="J56" s="19" t="n">
        <f aca="false">I56/H56</f>
        <v>13</v>
      </c>
      <c r="K56" s="16" t="n">
        <f aca="false">IFERROR(INDEX(Rates!$E$5:$E$84,MATCH(A56,Rates!$A$5:$A$84,0)),0)</f>
        <v>75</v>
      </c>
      <c r="L56" s="7" t="n">
        <f aca="false">I56*K56</f>
        <v>9750</v>
      </c>
      <c r="M56" s="6" t="str">
        <f aca="false">IF(A56="BRK",ROUNDUP(I56/2000,0),IF(OR(A56="SNDC",A56="SNDM",A56="CRS",A56="KHG",A56="EARTH"),ROUNDUP(I56/100,0),""))</f>
        <v/>
      </c>
      <c r="N56" s="14" t="str">
        <f aca="false">INDEX(Rates!$J$5:$J$84,MATCH(A56,Rates!$A$5:$A$84,0))</f>
        <v>Electrical</v>
      </c>
    </row>
    <row r="57" customFormat="false" ht="15" hidden="false" customHeight="false" outlineLevel="0" collapsed="false">
      <c r="A57" s="6" t="s">
        <v>200</v>
      </c>
      <c r="B57" s="14" t="str">
        <f aca="false">INDEX(Rates!$B$5:$B$84,MATCH(A57,Rates!$A$5:$A$84,0))</f>
        <v>Conduit bend ¾"</v>
      </c>
      <c r="C57" s="14" t="str">
        <f aca="false">INDEX(Rates!$C$5:$C$84,MATCH(A57,Rates!$A$5:$A$84,0))</f>
        <v>nos</v>
      </c>
      <c r="D57" s="12" t="n">
        <f aca="false">SUMIF(BOQ!$M$5:$M$452,A57,BOQ!$O$5:$O$452)</f>
        <v>267</v>
      </c>
      <c r="E57" s="15" t="n">
        <f aca="false">IFERROR(INDEX(Rates!$D$5:$D$84,MATCH(A57,Rates!$A$5:$A$84,0)),0)</f>
        <v>0</v>
      </c>
      <c r="F57" s="12" t="n">
        <f aca="false">D57*(1+E57)</f>
        <v>267</v>
      </c>
      <c r="G57" s="14" t="str">
        <f aca="false">INDEX(Rates!$F$5:$F$84,MATCH(A57,Rates!$A$5:$A$84,0))</f>
        <v>nos</v>
      </c>
      <c r="H57" s="14" t="n">
        <f aca="false">INDEX(Rates!$G$5:$G$84,MATCH(A57,Rates!$A$5:$A$84,0))</f>
        <v>1</v>
      </c>
      <c r="I57" s="12" t="n">
        <f aca="false">ROUNDUP(F57/H57,0)*H57</f>
        <v>267</v>
      </c>
      <c r="J57" s="19" t="n">
        <f aca="false">I57/H57</f>
        <v>267</v>
      </c>
      <c r="K57" s="16" t="n">
        <f aca="false">IFERROR(INDEX(Rates!$E$5:$E$84,MATCH(A57,Rates!$A$5:$A$84,0)),0)</f>
        <v>35</v>
      </c>
      <c r="L57" s="7" t="n">
        <f aca="false">I57*K57</f>
        <v>9345</v>
      </c>
      <c r="M57" s="6" t="str">
        <f aca="false">IF(A57="BRK",ROUNDUP(I57/2000,0),IF(OR(A57="SNDC",A57="SNDM",A57="CRS",A57="KHG",A57="EARTH"),ROUNDUP(I57/100,0),""))</f>
        <v/>
      </c>
      <c r="N57" s="14" t="str">
        <f aca="false">INDEX(Rates!$J$5:$J$84,MATCH(A57,Rates!$A$5:$A$84,0))</f>
        <v>Electrical</v>
      </c>
    </row>
    <row r="58" customFormat="false" ht="15" hidden="false" customHeight="false" outlineLevel="0" collapsed="false">
      <c r="A58" s="6" t="s">
        <v>202</v>
      </c>
      <c r="B58" s="14" t="str">
        <f aca="false">INDEX(Rates!$B$5:$B$84,MATCH(A58,Rates!$A$5:$A$84,0))</f>
        <v>Conduit bend 1"</v>
      </c>
      <c r="C58" s="14" t="str">
        <f aca="false">INDEX(Rates!$C$5:$C$84,MATCH(A58,Rates!$A$5:$A$84,0))</f>
        <v>nos</v>
      </c>
      <c r="D58" s="12" t="n">
        <f aca="false">SUMIF(BOQ!$M$5:$M$452,A58,BOQ!$O$5:$O$452)</f>
        <v>158</v>
      </c>
      <c r="E58" s="15" t="n">
        <f aca="false">IFERROR(INDEX(Rates!$D$5:$D$84,MATCH(A58,Rates!$A$5:$A$84,0)),0)</f>
        <v>0</v>
      </c>
      <c r="F58" s="12" t="n">
        <f aca="false">D58*(1+E58)</f>
        <v>158</v>
      </c>
      <c r="G58" s="14" t="str">
        <f aca="false">INDEX(Rates!$F$5:$F$84,MATCH(A58,Rates!$A$5:$A$84,0))</f>
        <v>nos</v>
      </c>
      <c r="H58" s="14" t="n">
        <f aca="false">INDEX(Rates!$G$5:$G$84,MATCH(A58,Rates!$A$5:$A$84,0))</f>
        <v>1</v>
      </c>
      <c r="I58" s="12" t="n">
        <f aca="false">ROUNDUP(F58/H58,0)*H58</f>
        <v>158</v>
      </c>
      <c r="J58" s="19" t="n">
        <f aca="false">I58/H58</f>
        <v>158</v>
      </c>
      <c r="K58" s="16" t="n">
        <f aca="false">IFERROR(INDEX(Rates!$E$5:$E$84,MATCH(A58,Rates!$A$5:$A$84,0)),0)</f>
        <v>55</v>
      </c>
      <c r="L58" s="7" t="n">
        <f aca="false">I58*K58</f>
        <v>8690</v>
      </c>
      <c r="M58" s="6" t="str">
        <f aca="false">IF(A58="BRK",ROUNDUP(I58/2000,0),IF(OR(A58="SNDC",A58="SNDM",A58="CRS",A58="KHG",A58="EARTH"),ROUNDUP(I58/100,0),""))</f>
        <v/>
      </c>
      <c r="N58" s="14" t="str">
        <f aca="false">INDEX(Rates!$J$5:$J$84,MATCH(A58,Rates!$A$5:$A$84,0))</f>
        <v>Electrical</v>
      </c>
    </row>
    <row r="59" customFormat="false" ht="15" hidden="false" customHeight="false" outlineLevel="0" collapsed="false">
      <c r="A59" s="6" t="s">
        <v>204</v>
      </c>
      <c r="B59" s="14" t="str">
        <f aca="false">INDEX(Rates!$B$5:$B$84,MATCH(A59,Rates!$A$5:$A$84,0))</f>
        <v>Conduit bend 1¼"</v>
      </c>
      <c r="C59" s="14" t="str">
        <f aca="false">INDEX(Rates!$C$5:$C$84,MATCH(A59,Rates!$A$5:$A$84,0))</f>
        <v>nos</v>
      </c>
      <c r="D59" s="12" t="n">
        <f aca="false">SUMIF(BOQ!$M$5:$M$452,A59,BOQ!$O$5:$O$452)</f>
        <v>18</v>
      </c>
      <c r="E59" s="15" t="n">
        <f aca="false">IFERROR(INDEX(Rates!$D$5:$D$84,MATCH(A59,Rates!$A$5:$A$84,0)),0)</f>
        <v>0</v>
      </c>
      <c r="F59" s="12" t="n">
        <f aca="false">D59*(1+E59)</f>
        <v>18</v>
      </c>
      <c r="G59" s="14" t="str">
        <f aca="false">INDEX(Rates!$F$5:$F$84,MATCH(A59,Rates!$A$5:$A$84,0))</f>
        <v>nos</v>
      </c>
      <c r="H59" s="14" t="n">
        <f aca="false">INDEX(Rates!$G$5:$G$84,MATCH(A59,Rates!$A$5:$A$84,0))</f>
        <v>1</v>
      </c>
      <c r="I59" s="12" t="n">
        <f aca="false">ROUNDUP(F59/H59,0)*H59</f>
        <v>18</v>
      </c>
      <c r="J59" s="19" t="n">
        <f aca="false">I59/H59</f>
        <v>18</v>
      </c>
      <c r="K59" s="16" t="n">
        <f aca="false">IFERROR(INDEX(Rates!$E$5:$E$84,MATCH(A59,Rates!$A$5:$A$84,0)),0)</f>
        <v>90</v>
      </c>
      <c r="L59" s="7" t="n">
        <f aca="false">I59*K59</f>
        <v>1620</v>
      </c>
      <c r="M59" s="6" t="str">
        <f aca="false">IF(A59="BRK",ROUNDUP(I59/2000,0),IF(OR(A59="SNDC",A59="SNDM",A59="CRS",A59="KHG",A59="EARTH"),ROUNDUP(I59/100,0),""))</f>
        <v/>
      </c>
      <c r="N59" s="14" t="str">
        <f aca="false">INDEX(Rates!$J$5:$J$84,MATCH(A59,Rates!$A$5:$A$84,0))</f>
        <v>Electrical</v>
      </c>
    </row>
    <row r="60" customFormat="false" ht="15" hidden="false" customHeight="false" outlineLevel="0" collapsed="false">
      <c r="A60" s="6" t="s">
        <v>206</v>
      </c>
      <c r="B60" s="14" t="str">
        <f aca="false">INDEX(Rates!$B$5:$B$84,MATCH(A60,Rates!$A$5:$A$84,0))</f>
        <v>Conduit bend 1½"</v>
      </c>
      <c r="C60" s="14" t="str">
        <f aca="false">INDEX(Rates!$C$5:$C$84,MATCH(A60,Rates!$A$5:$A$84,0))</f>
        <v>nos</v>
      </c>
      <c r="D60" s="12" t="n">
        <f aca="false">SUMIF(BOQ!$M$5:$M$452,A60,BOQ!$O$5:$O$452)</f>
        <v>12</v>
      </c>
      <c r="E60" s="15" t="n">
        <f aca="false">IFERROR(INDEX(Rates!$D$5:$D$84,MATCH(A60,Rates!$A$5:$A$84,0)),0)</f>
        <v>0</v>
      </c>
      <c r="F60" s="12" t="n">
        <f aca="false">D60*(1+E60)</f>
        <v>12</v>
      </c>
      <c r="G60" s="14" t="str">
        <f aca="false">INDEX(Rates!$F$5:$F$84,MATCH(A60,Rates!$A$5:$A$84,0))</f>
        <v>nos</v>
      </c>
      <c r="H60" s="14" t="n">
        <f aca="false">INDEX(Rates!$G$5:$G$84,MATCH(A60,Rates!$A$5:$A$84,0))</f>
        <v>1</v>
      </c>
      <c r="I60" s="12" t="n">
        <f aca="false">ROUNDUP(F60/H60,0)*H60</f>
        <v>12</v>
      </c>
      <c r="J60" s="19" t="n">
        <f aca="false">I60/H60</f>
        <v>12</v>
      </c>
      <c r="K60" s="16" t="n">
        <f aca="false">IFERROR(INDEX(Rates!$E$5:$E$84,MATCH(A60,Rates!$A$5:$A$84,0)),0)</f>
        <v>120</v>
      </c>
      <c r="L60" s="7" t="n">
        <f aca="false">I60*K60</f>
        <v>1440</v>
      </c>
      <c r="M60" s="6" t="str">
        <f aca="false">IF(A60="BRK",ROUNDUP(I60/2000,0),IF(OR(A60="SNDC",A60="SNDM",A60="CRS",A60="KHG",A60="EARTH"),ROUNDUP(I60/100,0),""))</f>
        <v/>
      </c>
      <c r="N60" s="14" t="str">
        <f aca="false">INDEX(Rates!$J$5:$J$84,MATCH(A60,Rates!$A$5:$A$84,0))</f>
        <v>Electrical</v>
      </c>
    </row>
    <row r="61" customFormat="false" ht="15" hidden="false" customHeight="false" outlineLevel="0" collapsed="false">
      <c r="A61" s="6" t="s">
        <v>208</v>
      </c>
      <c r="B61" s="14" t="str">
        <f aca="false">INDEX(Rates!$B$5:$B$84,MATCH(A61,Rates!$A$5:$A$84,0))</f>
        <v>Conduit coupler ¾"</v>
      </c>
      <c r="C61" s="14" t="str">
        <f aca="false">INDEX(Rates!$C$5:$C$84,MATCH(A61,Rates!$A$5:$A$84,0))</f>
        <v>nos</v>
      </c>
      <c r="D61" s="12" t="n">
        <f aca="false">SUMIF(BOQ!$M$5:$M$452,A61,BOQ!$O$5:$O$452)</f>
        <v>267</v>
      </c>
      <c r="E61" s="15" t="n">
        <f aca="false">IFERROR(INDEX(Rates!$D$5:$D$84,MATCH(A61,Rates!$A$5:$A$84,0)),0)</f>
        <v>0</v>
      </c>
      <c r="F61" s="12" t="n">
        <f aca="false">D61*(1+E61)</f>
        <v>267</v>
      </c>
      <c r="G61" s="14" t="str">
        <f aca="false">INDEX(Rates!$F$5:$F$84,MATCH(A61,Rates!$A$5:$A$84,0))</f>
        <v>nos</v>
      </c>
      <c r="H61" s="14" t="n">
        <f aca="false">INDEX(Rates!$G$5:$G$84,MATCH(A61,Rates!$A$5:$A$84,0))</f>
        <v>1</v>
      </c>
      <c r="I61" s="12" t="n">
        <f aca="false">ROUNDUP(F61/H61,0)*H61</f>
        <v>267</v>
      </c>
      <c r="J61" s="19" t="n">
        <f aca="false">I61/H61</f>
        <v>267</v>
      </c>
      <c r="K61" s="16" t="n">
        <f aca="false">IFERROR(INDEX(Rates!$E$5:$E$84,MATCH(A61,Rates!$A$5:$A$84,0)),0)</f>
        <v>15</v>
      </c>
      <c r="L61" s="7" t="n">
        <f aca="false">I61*K61</f>
        <v>4005</v>
      </c>
      <c r="M61" s="6" t="str">
        <f aca="false">IF(A61="BRK",ROUNDUP(I61/2000,0),IF(OR(A61="SNDC",A61="SNDM",A61="CRS",A61="KHG",A61="EARTH"),ROUNDUP(I61/100,0),""))</f>
        <v/>
      </c>
      <c r="N61" s="14" t="str">
        <f aca="false">INDEX(Rates!$J$5:$J$84,MATCH(A61,Rates!$A$5:$A$84,0))</f>
        <v>Electrical</v>
      </c>
    </row>
    <row r="62" customFormat="false" ht="15" hidden="false" customHeight="false" outlineLevel="0" collapsed="false">
      <c r="A62" s="6" t="s">
        <v>210</v>
      </c>
      <c r="B62" s="14" t="str">
        <f aca="false">INDEX(Rates!$B$5:$B$84,MATCH(A62,Rates!$A$5:$A$84,0))</f>
        <v>Conduit coupler 1"</v>
      </c>
      <c r="C62" s="14" t="str">
        <f aca="false">INDEX(Rates!$C$5:$C$84,MATCH(A62,Rates!$A$5:$A$84,0))</f>
        <v>nos</v>
      </c>
      <c r="D62" s="12" t="n">
        <f aca="false">SUMIF(BOQ!$M$5:$M$452,A62,BOQ!$O$5:$O$452)</f>
        <v>158</v>
      </c>
      <c r="E62" s="15" t="n">
        <f aca="false">IFERROR(INDEX(Rates!$D$5:$D$84,MATCH(A62,Rates!$A$5:$A$84,0)),0)</f>
        <v>0</v>
      </c>
      <c r="F62" s="12" t="n">
        <f aca="false">D62*(1+E62)</f>
        <v>158</v>
      </c>
      <c r="G62" s="14" t="str">
        <f aca="false">INDEX(Rates!$F$5:$F$84,MATCH(A62,Rates!$A$5:$A$84,0))</f>
        <v>nos</v>
      </c>
      <c r="H62" s="14" t="n">
        <f aca="false">INDEX(Rates!$G$5:$G$84,MATCH(A62,Rates!$A$5:$A$84,0))</f>
        <v>1</v>
      </c>
      <c r="I62" s="12" t="n">
        <f aca="false">ROUNDUP(F62/H62,0)*H62</f>
        <v>158</v>
      </c>
      <c r="J62" s="19" t="n">
        <f aca="false">I62/H62</f>
        <v>158</v>
      </c>
      <c r="K62" s="16" t="n">
        <f aca="false">IFERROR(INDEX(Rates!$E$5:$E$84,MATCH(A62,Rates!$A$5:$A$84,0)),0)</f>
        <v>25</v>
      </c>
      <c r="L62" s="7" t="n">
        <f aca="false">I62*K62</f>
        <v>3950</v>
      </c>
      <c r="M62" s="6" t="str">
        <f aca="false">IF(A62="BRK",ROUNDUP(I62/2000,0),IF(OR(A62="SNDC",A62="SNDM",A62="CRS",A62="KHG",A62="EARTH"),ROUNDUP(I62/100,0),""))</f>
        <v/>
      </c>
      <c r="N62" s="14" t="str">
        <f aca="false">INDEX(Rates!$J$5:$J$84,MATCH(A62,Rates!$A$5:$A$84,0))</f>
        <v>Electrical</v>
      </c>
    </row>
    <row r="63" customFormat="false" ht="15" hidden="false" customHeight="false" outlineLevel="0" collapsed="false">
      <c r="A63" s="6" t="s">
        <v>212</v>
      </c>
      <c r="B63" s="14" t="str">
        <f aca="false">INDEX(Rates!$B$5:$B$84,MATCH(A63,Rates!$A$5:$A$84,0))</f>
        <v>Conduit coupler 1¼"</v>
      </c>
      <c r="C63" s="14" t="str">
        <f aca="false">INDEX(Rates!$C$5:$C$84,MATCH(A63,Rates!$A$5:$A$84,0))</f>
        <v>nos</v>
      </c>
      <c r="D63" s="12" t="n">
        <f aca="false">SUMIF(BOQ!$M$5:$M$452,A63,BOQ!$O$5:$O$452)</f>
        <v>18</v>
      </c>
      <c r="E63" s="15" t="n">
        <f aca="false">IFERROR(INDEX(Rates!$D$5:$D$84,MATCH(A63,Rates!$A$5:$A$84,0)),0)</f>
        <v>0</v>
      </c>
      <c r="F63" s="12" t="n">
        <f aca="false">D63*(1+E63)</f>
        <v>18</v>
      </c>
      <c r="G63" s="14" t="str">
        <f aca="false">INDEX(Rates!$F$5:$F$84,MATCH(A63,Rates!$A$5:$A$84,0))</f>
        <v>nos</v>
      </c>
      <c r="H63" s="14" t="n">
        <f aca="false">INDEX(Rates!$G$5:$G$84,MATCH(A63,Rates!$A$5:$A$84,0))</f>
        <v>1</v>
      </c>
      <c r="I63" s="12" t="n">
        <f aca="false">ROUNDUP(F63/H63,0)*H63</f>
        <v>18</v>
      </c>
      <c r="J63" s="19" t="n">
        <f aca="false">I63/H63</f>
        <v>18</v>
      </c>
      <c r="K63" s="16" t="n">
        <f aca="false">IFERROR(INDEX(Rates!$E$5:$E$84,MATCH(A63,Rates!$A$5:$A$84,0)),0)</f>
        <v>40</v>
      </c>
      <c r="L63" s="7" t="n">
        <f aca="false">I63*K63</f>
        <v>720</v>
      </c>
      <c r="M63" s="6" t="str">
        <f aca="false">IF(A63="BRK",ROUNDUP(I63/2000,0),IF(OR(A63="SNDC",A63="SNDM",A63="CRS",A63="KHG",A63="EARTH"),ROUNDUP(I63/100,0),""))</f>
        <v/>
      </c>
      <c r="N63" s="14" t="str">
        <f aca="false">INDEX(Rates!$J$5:$J$84,MATCH(A63,Rates!$A$5:$A$84,0))</f>
        <v>Electrical</v>
      </c>
    </row>
    <row r="64" customFormat="false" ht="15" hidden="false" customHeight="false" outlineLevel="0" collapsed="false">
      <c r="A64" s="6" t="s">
        <v>214</v>
      </c>
      <c r="B64" s="14" t="str">
        <f aca="false">INDEX(Rates!$B$5:$B$84,MATCH(A64,Rates!$A$5:$A$84,0))</f>
        <v>Conduit coupler 1½"</v>
      </c>
      <c r="C64" s="14" t="str">
        <f aca="false">INDEX(Rates!$C$5:$C$84,MATCH(A64,Rates!$A$5:$A$84,0))</f>
        <v>nos</v>
      </c>
      <c r="D64" s="12" t="n">
        <f aca="false">SUMIF(BOQ!$M$5:$M$452,A64,BOQ!$O$5:$O$452)</f>
        <v>12</v>
      </c>
      <c r="E64" s="15" t="n">
        <f aca="false">IFERROR(INDEX(Rates!$D$5:$D$84,MATCH(A64,Rates!$A$5:$A$84,0)),0)</f>
        <v>0</v>
      </c>
      <c r="F64" s="12" t="n">
        <f aca="false">D64*(1+E64)</f>
        <v>12</v>
      </c>
      <c r="G64" s="14" t="str">
        <f aca="false">INDEX(Rates!$F$5:$F$84,MATCH(A64,Rates!$A$5:$A$84,0))</f>
        <v>nos</v>
      </c>
      <c r="H64" s="14" t="n">
        <f aca="false">INDEX(Rates!$G$5:$G$84,MATCH(A64,Rates!$A$5:$A$84,0))</f>
        <v>1</v>
      </c>
      <c r="I64" s="12" t="n">
        <f aca="false">ROUNDUP(F64/H64,0)*H64</f>
        <v>12</v>
      </c>
      <c r="J64" s="19" t="n">
        <f aca="false">I64/H64</f>
        <v>12</v>
      </c>
      <c r="K64" s="16" t="n">
        <f aca="false">IFERROR(INDEX(Rates!$E$5:$E$84,MATCH(A64,Rates!$A$5:$A$84,0)),0)</f>
        <v>55</v>
      </c>
      <c r="L64" s="7" t="n">
        <f aca="false">I64*K64</f>
        <v>660</v>
      </c>
      <c r="M64" s="6" t="str">
        <f aca="false">IF(A64="BRK",ROUNDUP(I64/2000,0),IF(OR(A64="SNDC",A64="SNDM",A64="CRS",A64="KHG",A64="EARTH"),ROUNDUP(I64/100,0),""))</f>
        <v/>
      </c>
      <c r="N64" s="14" t="str">
        <f aca="false">INDEX(Rates!$J$5:$J$84,MATCH(A64,Rates!$A$5:$A$84,0))</f>
        <v>Electrical</v>
      </c>
    </row>
    <row r="65" customFormat="false" ht="15" hidden="false" customHeight="false" outlineLevel="0" collapsed="false">
      <c r="A65" s="6" t="s">
        <v>216</v>
      </c>
      <c r="B65" s="14" t="str">
        <f aca="false">INDEX(Rates!$B$5:$B$84,MATCH(A65,Rates!$A$5:$A$84,0))</f>
        <v>PVC solvent cement (tin)</v>
      </c>
      <c r="C65" s="14" t="str">
        <f aca="false">INDEX(Rates!$C$5:$C$84,MATCH(A65,Rates!$A$5:$A$84,0))</f>
        <v>nos</v>
      </c>
      <c r="D65" s="12" t="n">
        <f aca="false">SUMIF(BOQ!$M$5:$M$452,A65,BOQ!$O$5:$O$452)</f>
        <v>5</v>
      </c>
      <c r="E65" s="15" t="n">
        <f aca="false">IFERROR(INDEX(Rates!$D$5:$D$84,MATCH(A65,Rates!$A$5:$A$84,0)),0)</f>
        <v>0</v>
      </c>
      <c r="F65" s="12" t="n">
        <f aca="false">D65*(1+E65)</f>
        <v>5</v>
      </c>
      <c r="G65" s="14" t="str">
        <f aca="false">INDEX(Rates!$F$5:$F$84,MATCH(A65,Rates!$A$5:$A$84,0))</f>
        <v>nos</v>
      </c>
      <c r="H65" s="14" t="n">
        <f aca="false">INDEX(Rates!$G$5:$G$84,MATCH(A65,Rates!$A$5:$A$84,0))</f>
        <v>1</v>
      </c>
      <c r="I65" s="12" t="n">
        <f aca="false">ROUNDUP(F65/H65,0)*H65</f>
        <v>5</v>
      </c>
      <c r="J65" s="19" t="n">
        <f aca="false">I65/H65</f>
        <v>5</v>
      </c>
      <c r="K65" s="16" t="n">
        <f aca="false">IFERROR(INDEX(Rates!$E$5:$E$84,MATCH(A65,Rates!$A$5:$A$84,0)),0)</f>
        <v>600</v>
      </c>
      <c r="L65" s="7" t="n">
        <f aca="false">I65*K65</f>
        <v>3000</v>
      </c>
      <c r="M65" s="6" t="str">
        <f aca="false">IF(A65="BRK",ROUNDUP(I65/2000,0),IF(OR(A65="SNDC",A65="SNDM",A65="CRS",A65="KHG",A65="EARTH"),ROUNDUP(I65/100,0),""))</f>
        <v/>
      </c>
      <c r="N65" s="14" t="str">
        <f aca="false">INDEX(Rates!$J$5:$J$84,MATCH(A65,Rates!$A$5:$A$84,0))</f>
        <v>Electrical</v>
      </c>
    </row>
    <row r="66" customFormat="false" ht="15" hidden="false" customHeight="false" outlineLevel="0" collapsed="false">
      <c r="A66" s="6" t="s">
        <v>218</v>
      </c>
      <c r="B66" s="14" t="str">
        <f aca="false">INDEX(Rates!$B$5:$B$84,MATCH(A66,Rates!$A$5:$A$84,0))</f>
        <v>Switch-board back box (assorted 3"x3" to 12"x3")</v>
      </c>
      <c r="C66" s="14" t="str">
        <f aca="false">INDEX(Rates!$C$5:$C$84,MATCH(A66,Rates!$A$5:$A$84,0))</f>
        <v>nos</v>
      </c>
      <c r="D66" s="12" t="n">
        <f aca="false">SUMIF(BOQ!$M$5:$M$452,A66,BOQ!$O$5:$O$452)</f>
        <v>39</v>
      </c>
      <c r="E66" s="15" t="n">
        <f aca="false">IFERROR(INDEX(Rates!$D$5:$D$84,MATCH(A66,Rates!$A$5:$A$84,0)),0)</f>
        <v>0</v>
      </c>
      <c r="F66" s="12" t="n">
        <f aca="false">D66*(1+E66)</f>
        <v>39</v>
      </c>
      <c r="G66" s="14" t="str">
        <f aca="false">INDEX(Rates!$F$5:$F$84,MATCH(A66,Rates!$A$5:$A$84,0))</f>
        <v>nos</v>
      </c>
      <c r="H66" s="14" t="n">
        <f aca="false">INDEX(Rates!$G$5:$G$84,MATCH(A66,Rates!$A$5:$A$84,0))</f>
        <v>1</v>
      </c>
      <c r="I66" s="12" t="n">
        <f aca="false">ROUNDUP(F66/H66,0)*H66</f>
        <v>39</v>
      </c>
      <c r="J66" s="19" t="n">
        <f aca="false">I66/H66</f>
        <v>39</v>
      </c>
      <c r="K66" s="16" t="n">
        <f aca="false">IFERROR(INDEX(Rates!$E$5:$E$84,MATCH(A66,Rates!$A$5:$A$84,0)),0)</f>
        <v>250</v>
      </c>
      <c r="L66" s="7" t="n">
        <f aca="false">I66*K66</f>
        <v>9750</v>
      </c>
      <c r="M66" s="6" t="str">
        <f aca="false">IF(A66="BRK",ROUNDUP(I66/2000,0),IF(OR(A66="SNDC",A66="SNDM",A66="CRS",A66="KHG",A66="EARTH"),ROUNDUP(I66/100,0),""))</f>
        <v/>
      </c>
      <c r="N66" s="14" t="str">
        <f aca="false">INDEX(Rates!$J$5:$J$84,MATCH(A66,Rates!$A$5:$A$84,0))</f>
        <v>Electrical</v>
      </c>
    </row>
    <row r="67" customFormat="false" ht="15" hidden="false" customHeight="false" outlineLevel="0" collapsed="false">
      <c r="A67" s="6" t="s">
        <v>220</v>
      </c>
      <c r="B67" s="14" t="str">
        <f aca="false">INDEX(Rates!$B$5:$B$84,MATCH(A67,Rates!$A$5:$A$84,0))</f>
        <v>Socket back box</v>
      </c>
      <c r="C67" s="14" t="str">
        <f aca="false">INDEX(Rates!$C$5:$C$84,MATCH(A67,Rates!$A$5:$A$84,0))</f>
        <v>nos</v>
      </c>
      <c r="D67" s="12" t="n">
        <f aca="false">SUMIF(BOQ!$M$5:$M$452,A67,BOQ!$O$5:$O$452)</f>
        <v>79</v>
      </c>
      <c r="E67" s="15" t="n">
        <f aca="false">IFERROR(INDEX(Rates!$D$5:$D$84,MATCH(A67,Rates!$A$5:$A$84,0)),0)</f>
        <v>0</v>
      </c>
      <c r="F67" s="12" t="n">
        <f aca="false">D67*(1+E67)</f>
        <v>79</v>
      </c>
      <c r="G67" s="14" t="str">
        <f aca="false">INDEX(Rates!$F$5:$F$84,MATCH(A67,Rates!$A$5:$A$84,0))</f>
        <v>nos</v>
      </c>
      <c r="H67" s="14" t="n">
        <f aca="false">INDEX(Rates!$G$5:$G$84,MATCH(A67,Rates!$A$5:$A$84,0))</f>
        <v>1</v>
      </c>
      <c r="I67" s="12" t="n">
        <f aca="false">ROUNDUP(F67/H67,0)*H67</f>
        <v>79</v>
      </c>
      <c r="J67" s="19" t="n">
        <f aca="false">I67/H67</f>
        <v>79</v>
      </c>
      <c r="K67" s="16" t="n">
        <f aca="false">IFERROR(INDEX(Rates!$E$5:$E$84,MATCH(A67,Rates!$A$5:$A$84,0)),0)</f>
        <v>120</v>
      </c>
      <c r="L67" s="7" t="n">
        <f aca="false">I67*K67</f>
        <v>9480</v>
      </c>
      <c r="M67" s="6" t="str">
        <f aca="false">IF(A67="BRK",ROUNDUP(I67/2000,0),IF(OR(A67="SNDC",A67="SNDM",A67="CRS",A67="KHG",A67="EARTH"),ROUNDUP(I67/100,0),""))</f>
        <v/>
      </c>
      <c r="N67" s="14" t="str">
        <f aca="false">INDEX(Rates!$J$5:$J$84,MATCH(A67,Rates!$A$5:$A$84,0))</f>
        <v>Electrical</v>
      </c>
    </row>
    <row r="68" customFormat="false" ht="15" hidden="false" customHeight="false" outlineLevel="0" collapsed="false">
      <c r="A68" s="6" t="s">
        <v>222</v>
      </c>
      <c r="B68" s="14" t="str">
        <f aca="false">INDEX(Rates!$B$5:$B$84,MATCH(A68,Rates!$A$5:$A$84,0))</f>
        <v>A.C point box</v>
      </c>
      <c r="C68" s="14" t="str">
        <f aca="false">INDEX(Rates!$C$5:$C$84,MATCH(A68,Rates!$A$5:$A$84,0))</f>
        <v>nos</v>
      </c>
      <c r="D68" s="12" t="n">
        <f aca="false">SUMIF(BOQ!$M$5:$M$452,A68,BOQ!$O$5:$O$452)</f>
        <v>10</v>
      </c>
      <c r="E68" s="15" t="n">
        <f aca="false">IFERROR(INDEX(Rates!$D$5:$D$84,MATCH(A68,Rates!$A$5:$A$84,0)),0)</f>
        <v>0</v>
      </c>
      <c r="F68" s="12" t="n">
        <f aca="false">D68*(1+E68)</f>
        <v>10</v>
      </c>
      <c r="G68" s="14" t="str">
        <f aca="false">INDEX(Rates!$F$5:$F$84,MATCH(A68,Rates!$A$5:$A$84,0))</f>
        <v>nos</v>
      </c>
      <c r="H68" s="14" t="n">
        <f aca="false">INDEX(Rates!$G$5:$G$84,MATCH(A68,Rates!$A$5:$A$84,0))</f>
        <v>1</v>
      </c>
      <c r="I68" s="12" t="n">
        <f aca="false">ROUNDUP(F68/H68,0)*H68</f>
        <v>10</v>
      </c>
      <c r="J68" s="19" t="n">
        <f aca="false">I68/H68</f>
        <v>10</v>
      </c>
      <c r="K68" s="16" t="n">
        <f aca="false">IFERROR(INDEX(Rates!$E$5:$E$84,MATCH(A68,Rates!$A$5:$A$84,0)),0)</f>
        <v>150</v>
      </c>
      <c r="L68" s="7" t="n">
        <f aca="false">I68*K68</f>
        <v>1500</v>
      </c>
      <c r="M68" s="6" t="str">
        <f aca="false">IF(A68="BRK",ROUNDUP(I68/2000,0),IF(OR(A68="SNDC",A68="SNDM",A68="CRS",A68="KHG",A68="EARTH"),ROUNDUP(I68/100,0),""))</f>
        <v/>
      </c>
      <c r="N68" s="14" t="str">
        <f aca="false">INDEX(Rates!$J$5:$J$84,MATCH(A68,Rates!$A$5:$A$84,0))</f>
        <v>Electrical</v>
      </c>
    </row>
    <row r="69" customFormat="false" ht="15" hidden="false" customHeight="false" outlineLevel="0" collapsed="false">
      <c r="A69" s="6" t="s">
        <v>224</v>
      </c>
      <c r="B69" s="14" t="str">
        <f aca="false">INDEX(Rates!$B$5:$B$84,MATCH(A69,Rates!$A$5:$A$84,0))</f>
        <v>Fan box with hook</v>
      </c>
      <c r="C69" s="14" t="str">
        <f aca="false">INDEX(Rates!$C$5:$C$84,MATCH(A69,Rates!$A$5:$A$84,0))</f>
        <v>nos</v>
      </c>
      <c r="D69" s="12" t="n">
        <f aca="false">SUMIF(BOQ!$M$5:$M$452,A69,BOQ!$O$5:$O$452)</f>
        <v>13</v>
      </c>
      <c r="E69" s="15" t="n">
        <f aca="false">IFERROR(INDEX(Rates!$D$5:$D$84,MATCH(A69,Rates!$A$5:$A$84,0)),0)</f>
        <v>0</v>
      </c>
      <c r="F69" s="12" t="n">
        <f aca="false">D69*(1+E69)</f>
        <v>13</v>
      </c>
      <c r="G69" s="14" t="str">
        <f aca="false">INDEX(Rates!$F$5:$F$84,MATCH(A69,Rates!$A$5:$A$84,0))</f>
        <v>nos</v>
      </c>
      <c r="H69" s="14" t="n">
        <f aca="false">INDEX(Rates!$G$5:$G$84,MATCH(A69,Rates!$A$5:$A$84,0))</f>
        <v>1</v>
      </c>
      <c r="I69" s="12" t="n">
        <f aca="false">ROUNDUP(F69/H69,0)*H69</f>
        <v>13</v>
      </c>
      <c r="J69" s="19" t="n">
        <f aca="false">I69/H69</f>
        <v>13</v>
      </c>
      <c r="K69" s="16" t="n">
        <f aca="false">IFERROR(INDEX(Rates!$E$5:$E$84,MATCH(A69,Rates!$A$5:$A$84,0)),0)</f>
        <v>180</v>
      </c>
      <c r="L69" s="7" t="n">
        <f aca="false">I69*K69</f>
        <v>2340</v>
      </c>
      <c r="M69" s="6" t="str">
        <f aca="false">IF(A69="BRK",ROUNDUP(I69/2000,0),IF(OR(A69="SNDC",A69="SNDM",A69="CRS",A69="KHG",A69="EARTH"),ROUNDUP(I69/100,0),""))</f>
        <v/>
      </c>
      <c r="N69" s="14" t="str">
        <f aca="false">INDEX(Rates!$J$5:$J$84,MATCH(A69,Rates!$A$5:$A$84,0))</f>
        <v>Electrical</v>
      </c>
    </row>
    <row r="70" customFormat="false" ht="15" hidden="false" customHeight="false" outlineLevel="0" collapsed="false">
      <c r="A70" s="6" t="s">
        <v>226</v>
      </c>
      <c r="B70" s="14" t="str">
        <f aca="false">INDEX(Rates!$B$5:$B$84,MATCH(A70,Rates!$A$5:$A$84,0))</f>
        <v>Round light junction box</v>
      </c>
      <c r="C70" s="14" t="str">
        <f aca="false">INDEX(Rates!$C$5:$C$84,MATCH(A70,Rates!$A$5:$A$84,0))</f>
        <v>nos</v>
      </c>
      <c r="D70" s="12" t="n">
        <f aca="false">SUMIF(BOQ!$M$5:$M$452,A70,BOQ!$O$5:$O$452)</f>
        <v>110</v>
      </c>
      <c r="E70" s="15" t="n">
        <f aca="false">IFERROR(INDEX(Rates!$D$5:$D$84,MATCH(A70,Rates!$A$5:$A$84,0)),0)</f>
        <v>0</v>
      </c>
      <c r="F70" s="12" t="n">
        <f aca="false">D70*(1+E70)</f>
        <v>110</v>
      </c>
      <c r="G70" s="14" t="str">
        <f aca="false">INDEX(Rates!$F$5:$F$84,MATCH(A70,Rates!$A$5:$A$84,0))</f>
        <v>nos</v>
      </c>
      <c r="H70" s="14" t="n">
        <f aca="false">INDEX(Rates!$G$5:$G$84,MATCH(A70,Rates!$A$5:$A$84,0))</f>
        <v>1</v>
      </c>
      <c r="I70" s="12" t="n">
        <f aca="false">ROUNDUP(F70/H70,0)*H70</f>
        <v>110</v>
      </c>
      <c r="J70" s="19" t="n">
        <f aca="false">I70/H70</f>
        <v>110</v>
      </c>
      <c r="K70" s="16" t="n">
        <f aca="false">IFERROR(INDEX(Rates!$E$5:$E$84,MATCH(A70,Rates!$A$5:$A$84,0)),0)</f>
        <v>60</v>
      </c>
      <c r="L70" s="7" t="n">
        <f aca="false">I70*K70</f>
        <v>6600</v>
      </c>
      <c r="M70" s="6" t="str">
        <f aca="false">IF(A70="BRK",ROUNDUP(I70/2000,0),IF(OR(A70="SNDC",A70="SNDM",A70="CRS",A70="KHG",A70="EARTH"),ROUNDUP(I70/100,0),""))</f>
        <v/>
      </c>
      <c r="N70" s="14" t="str">
        <f aca="false">INDEX(Rates!$J$5:$J$84,MATCH(A70,Rates!$A$5:$A$84,0))</f>
        <v>Electrical</v>
      </c>
    </row>
    <row r="71" customFormat="false" ht="15" hidden="false" customHeight="false" outlineLevel="0" collapsed="false">
      <c r="A71" s="6" t="s">
        <v>228</v>
      </c>
      <c r="B71" s="14" t="str">
        <f aca="false">INDEX(Rates!$B$5:$B$84,MATCH(A71,Rates!$A$5:$A$84,0))</f>
        <v>Ceiling box for Wi-Fi access point</v>
      </c>
      <c r="C71" s="14" t="str">
        <f aca="false">INDEX(Rates!$C$5:$C$84,MATCH(A71,Rates!$A$5:$A$84,0))</f>
        <v>nos</v>
      </c>
      <c r="D71" s="12" t="n">
        <f aca="false">SUMIF(BOQ!$M$5:$M$452,A71,BOQ!$O$5:$O$452)</f>
        <v>5</v>
      </c>
      <c r="E71" s="15" t="n">
        <f aca="false">IFERROR(INDEX(Rates!$D$5:$D$84,MATCH(A71,Rates!$A$5:$A$84,0)),0)</f>
        <v>0</v>
      </c>
      <c r="F71" s="12" t="n">
        <f aca="false">D71*(1+E71)</f>
        <v>5</v>
      </c>
      <c r="G71" s="14" t="str">
        <f aca="false">INDEX(Rates!$F$5:$F$84,MATCH(A71,Rates!$A$5:$A$84,0))</f>
        <v>nos</v>
      </c>
      <c r="H71" s="14" t="n">
        <f aca="false">INDEX(Rates!$G$5:$G$84,MATCH(A71,Rates!$A$5:$A$84,0))</f>
        <v>1</v>
      </c>
      <c r="I71" s="12" t="n">
        <f aca="false">ROUNDUP(F71/H71,0)*H71</f>
        <v>5</v>
      </c>
      <c r="J71" s="19" t="n">
        <f aca="false">I71/H71</f>
        <v>5</v>
      </c>
      <c r="K71" s="16" t="n">
        <f aca="false">IFERROR(INDEX(Rates!$E$5:$E$84,MATCH(A71,Rates!$A$5:$A$84,0)),0)</f>
        <v>150</v>
      </c>
      <c r="L71" s="7" t="n">
        <f aca="false">I71*K71</f>
        <v>750</v>
      </c>
      <c r="M71" s="6" t="str">
        <f aca="false">IF(A71="BRK",ROUNDUP(I71/2000,0),IF(OR(A71="SNDC",A71="SNDM",A71="CRS",A71="KHG",A71="EARTH"),ROUNDUP(I71/100,0),""))</f>
        <v/>
      </c>
      <c r="N71" s="14" t="str">
        <f aca="false">INDEX(Rates!$J$5:$J$84,MATCH(A71,Rates!$A$5:$A$84,0))</f>
        <v>Electrical</v>
      </c>
    </row>
    <row r="72" customFormat="false" ht="15" hidden="false" customHeight="false" outlineLevel="0" collapsed="false">
      <c r="A72" s="6" t="s">
        <v>230</v>
      </c>
      <c r="B72" s="14" t="str">
        <f aca="false">INDEX(Rates!$B$5:$B$84,MATCH(A72,Rates!$A$5:$A$84,0))</f>
        <v>CCTV camera junction box</v>
      </c>
      <c r="C72" s="14" t="str">
        <f aca="false">INDEX(Rates!$C$5:$C$84,MATCH(A72,Rates!$A$5:$A$84,0))</f>
        <v>nos</v>
      </c>
      <c r="D72" s="12" t="n">
        <f aca="false">SUMIF(BOQ!$M$5:$M$452,A72,BOQ!$O$5:$O$452)</f>
        <v>7</v>
      </c>
      <c r="E72" s="15" t="n">
        <f aca="false">IFERROR(INDEX(Rates!$D$5:$D$84,MATCH(A72,Rates!$A$5:$A$84,0)),0)</f>
        <v>0</v>
      </c>
      <c r="F72" s="12" t="n">
        <f aca="false">D72*(1+E72)</f>
        <v>7</v>
      </c>
      <c r="G72" s="14" t="str">
        <f aca="false">INDEX(Rates!$F$5:$F$84,MATCH(A72,Rates!$A$5:$A$84,0))</f>
        <v>nos</v>
      </c>
      <c r="H72" s="14" t="n">
        <f aca="false">INDEX(Rates!$G$5:$G$84,MATCH(A72,Rates!$A$5:$A$84,0))</f>
        <v>1</v>
      </c>
      <c r="I72" s="12" t="n">
        <f aca="false">ROUNDUP(F72/H72,0)*H72</f>
        <v>7</v>
      </c>
      <c r="J72" s="19" t="n">
        <f aca="false">I72/H72</f>
        <v>7</v>
      </c>
      <c r="K72" s="16" t="n">
        <f aca="false">IFERROR(INDEX(Rates!$E$5:$E$84,MATCH(A72,Rates!$A$5:$A$84,0)),0)</f>
        <v>150</v>
      </c>
      <c r="L72" s="7" t="n">
        <f aca="false">I72*K72</f>
        <v>1050</v>
      </c>
      <c r="M72" s="6" t="str">
        <f aca="false">IF(A72="BRK",ROUNDUP(I72/2000,0),IF(OR(A72="SNDC",A72="SNDM",A72="CRS",A72="KHG",A72="EARTH"),ROUNDUP(I72/100,0),""))</f>
        <v/>
      </c>
      <c r="N72" s="14" t="str">
        <f aca="false">INDEX(Rates!$J$5:$J$84,MATCH(A72,Rates!$A$5:$A$84,0))</f>
        <v>Electrical</v>
      </c>
    </row>
    <row r="73" customFormat="false" ht="15" hidden="false" customHeight="false" outlineLevel="0" collapsed="false">
      <c r="A73" s="6" t="s">
        <v>232</v>
      </c>
      <c r="B73" s="14" t="str">
        <f aca="false">INDEX(Rates!$B$5:$B$84,MATCH(A73,Rates!$A$5:$A$84,0))</f>
        <v>NVR / router enclosure box</v>
      </c>
      <c r="C73" s="14" t="str">
        <f aca="false">INDEX(Rates!$C$5:$C$84,MATCH(A73,Rates!$A$5:$A$84,0))</f>
        <v>nos</v>
      </c>
      <c r="D73" s="12" t="n">
        <f aca="false">SUMIF(BOQ!$M$5:$M$452,A73,BOQ!$O$5:$O$452)</f>
        <v>1</v>
      </c>
      <c r="E73" s="15" t="n">
        <f aca="false">IFERROR(INDEX(Rates!$D$5:$D$84,MATCH(A73,Rates!$A$5:$A$84,0)),0)</f>
        <v>0</v>
      </c>
      <c r="F73" s="12" t="n">
        <f aca="false">D73*(1+E73)</f>
        <v>1</v>
      </c>
      <c r="G73" s="14" t="str">
        <f aca="false">INDEX(Rates!$F$5:$F$84,MATCH(A73,Rates!$A$5:$A$84,0))</f>
        <v>nos</v>
      </c>
      <c r="H73" s="14" t="n">
        <f aca="false">INDEX(Rates!$G$5:$G$84,MATCH(A73,Rates!$A$5:$A$84,0))</f>
        <v>1</v>
      </c>
      <c r="I73" s="12" t="n">
        <f aca="false">ROUNDUP(F73/H73,0)*H73</f>
        <v>1</v>
      </c>
      <c r="J73" s="19" t="n">
        <f aca="false">I73/H73</f>
        <v>1</v>
      </c>
      <c r="K73" s="16" t="n">
        <f aca="false">IFERROR(INDEX(Rates!$E$5:$E$84,MATCH(A73,Rates!$A$5:$A$84,0)),0)</f>
        <v>400</v>
      </c>
      <c r="L73" s="7" t="n">
        <f aca="false">I73*K73</f>
        <v>400</v>
      </c>
      <c r="M73" s="6" t="str">
        <f aca="false">IF(A73="BRK",ROUNDUP(I73/2000,0),IF(OR(A73="SNDC",A73="SNDM",A73="CRS",A73="KHG",A73="EARTH"),ROUNDUP(I73/100,0),""))</f>
        <v/>
      </c>
      <c r="N73" s="14" t="str">
        <f aca="false">INDEX(Rates!$J$5:$J$84,MATCH(A73,Rates!$A$5:$A$84,0))</f>
        <v>Electrical</v>
      </c>
    </row>
    <row r="74" customFormat="false" ht="15" hidden="false" customHeight="false" outlineLevel="0" collapsed="false">
      <c r="A74" s="6" t="s">
        <v>234</v>
      </c>
      <c r="B74" s="14" t="str">
        <f aca="false">INDEX(Rates!$B$5:$B$84,MATCH(A74,Rates!$A$5:$A$84,0))</f>
        <v>Bell push box</v>
      </c>
      <c r="C74" s="14" t="str">
        <f aca="false">INDEX(Rates!$C$5:$C$84,MATCH(A74,Rates!$A$5:$A$84,0))</f>
        <v>nos</v>
      </c>
      <c r="D74" s="12" t="n">
        <f aca="false">SUMIF(BOQ!$M$5:$M$452,A74,BOQ!$O$5:$O$452)</f>
        <v>2</v>
      </c>
      <c r="E74" s="15" t="n">
        <f aca="false">IFERROR(INDEX(Rates!$D$5:$D$84,MATCH(A74,Rates!$A$5:$A$84,0)),0)</f>
        <v>0</v>
      </c>
      <c r="F74" s="12" t="n">
        <f aca="false">D74*(1+E74)</f>
        <v>2</v>
      </c>
      <c r="G74" s="14" t="str">
        <f aca="false">INDEX(Rates!$F$5:$F$84,MATCH(A74,Rates!$A$5:$A$84,0))</f>
        <v>nos</v>
      </c>
      <c r="H74" s="14" t="n">
        <f aca="false">INDEX(Rates!$G$5:$G$84,MATCH(A74,Rates!$A$5:$A$84,0))</f>
        <v>1</v>
      </c>
      <c r="I74" s="12" t="n">
        <f aca="false">ROUNDUP(F74/H74,0)*H74</f>
        <v>2</v>
      </c>
      <c r="J74" s="19" t="n">
        <f aca="false">I74/H74</f>
        <v>2</v>
      </c>
      <c r="K74" s="16" t="n">
        <f aca="false">IFERROR(INDEX(Rates!$E$5:$E$84,MATCH(A74,Rates!$A$5:$A$84,0)),0)</f>
        <v>120</v>
      </c>
      <c r="L74" s="7" t="n">
        <f aca="false">I74*K74</f>
        <v>240</v>
      </c>
      <c r="M74" s="6" t="str">
        <f aca="false">IF(A74="BRK",ROUNDUP(I74/2000,0),IF(OR(A74="SNDC",A74="SNDM",A74="CRS",A74="KHG",A74="EARTH"),ROUNDUP(I74/100,0),""))</f>
        <v/>
      </c>
      <c r="N74" s="14" t="str">
        <f aca="false">INDEX(Rates!$J$5:$J$84,MATCH(A74,Rates!$A$5:$A$84,0))</f>
        <v>Electrical</v>
      </c>
    </row>
    <row r="75" customFormat="false" ht="15" hidden="false" customHeight="false" outlineLevel="0" collapsed="false">
      <c r="A75" s="6" t="s">
        <v>236</v>
      </c>
      <c r="B75" s="14" t="str">
        <f aca="false">INDEX(Rates!$B$5:$B$84,MATCH(A75,Rates!$A$5:$A$84,0))</f>
        <v>DB enclosure 12-way (empty)</v>
      </c>
      <c r="C75" s="14" t="str">
        <f aca="false">INDEX(Rates!$C$5:$C$84,MATCH(A75,Rates!$A$5:$A$84,0))</f>
        <v>nos</v>
      </c>
      <c r="D75" s="12" t="n">
        <f aca="false">SUMIF(BOQ!$M$5:$M$452,A75,BOQ!$O$5:$O$452)</f>
        <v>1</v>
      </c>
      <c r="E75" s="15" t="n">
        <f aca="false">IFERROR(INDEX(Rates!$D$5:$D$84,MATCH(A75,Rates!$A$5:$A$84,0)),0)</f>
        <v>0</v>
      </c>
      <c r="F75" s="12" t="n">
        <f aca="false">D75*(1+E75)</f>
        <v>1</v>
      </c>
      <c r="G75" s="14" t="str">
        <f aca="false">INDEX(Rates!$F$5:$F$84,MATCH(A75,Rates!$A$5:$A$84,0))</f>
        <v>nos</v>
      </c>
      <c r="H75" s="14" t="n">
        <f aca="false">INDEX(Rates!$G$5:$G$84,MATCH(A75,Rates!$A$5:$A$84,0))</f>
        <v>1</v>
      </c>
      <c r="I75" s="12" t="n">
        <f aca="false">ROUNDUP(F75/H75,0)*H75</f>
        <v>1</v>
      </c>
      <c r="J75" s="19" t="n">
        <f aca="false">I75/H75</f>
        <v>1</v>
      </c>
      <c r="K75" s="16" t="n">
        <f aca="false">IFERROR(INDEX(Rates!$E$5:$E$84,MATCH(A75,Rates!$A$5:$A$84,0)),0)</f>
        <v>4500</v>
      </c>
      <c r="L75" s="7" t="n">
        <f aca="false">I75*K75</f>
        <v>4500</v>
      </c>
      <c r="M75" s="6" t="str">
        <f aca="false">IF(A75="BRK",ROUNDUP(I75/2000,0),IF(OR(A75="SNDC",A75="SNDM",A75="CRS",A75="KHG",A75="EARTH"),ROUNDUP(I75/100,0),""))</f>
        <v/>
      </c>
      <c r="N75" s="14" t="str">
        <f aca="false">INDEX(Rates!$J$5:$J$84,MATCH(A75,Rates!$A$5:$A$84,0))</f>
        <v>Electrical</v>
      </c>
    </row>
    <row r="76" customFormat="false" ht="15" hidden="false" customHeight="false" outlineLevel="0" collapsed="false">
      <c r="A76" s="6" t="s">
        <v>238</v>
      </c>
      <c r="B76" s="14" t="str">
        <f aca="false">INDEX(Rates!$B$5:$B$84,MATCH(A76,Rates!$A$5:$A$84,0))</f>
        <v>DB enclosure 8-way (empty)</v>
      </c>
      <c r="C76" s="14" t="str">
        <f aca="false">INDEX(Rates!$C$5:$C$84,MATCH(A76,Rates!$A$5:$A$84,0))</f>
        <v>nos</v>
      </c>
      <c r="D76" s="12" t="n">
        <f aca="false">SUMIF(BOQ!$M$5:$M$452,A76,BOQ!$O$5:$O$452)</f>
        <v>2</v>
      </c>
      <c r="E76" s="15" t="n">
        <f aca="false">IFERROR(INDEX(Rates!$D$5:$D$84,MATCH(A76,Rates!$A$5:$A$84,0)),0)</f>
        <v>0</v>
      </c>
      <c r="F76" s="12" t="n">
        <f aca="false">D76*(1+E76)</f>
        <v>2</v>
      </c>
      <c r="G76" s="14" t="str">
        <f aca="false">INDEX(Rates!$F$5:$F$84,MATCH(A76,Rates!$A$5:$A$84,0))</f>
        <v>nos</v>
      </c>
      <c r="H76" s="14" t="n">
        <f aca="false">INDEX(Rates!$G$5:$G$84,MATCH(A76,Rates!$A$5:$A$84,0))</f>
        <v>1</v>
      </c>
      <c r="I76" s="12" t="n">
        <f aca="false">ROUNDUP(F76/H76,0)*H76</f>
        <v>2</v>
      </c>
      <c r="J76" s="19" t="n">
        <f aca="false">I76/H76</f>
        <v>2</v>
      </c>
      <c r="K76" s="16" t="n">
        <f aca="false">IFERROR(INDEX(Rates!$E$5:$E$84,MATCH(A76,Rates!$A$5:$A$84,0)),0)</f>
        <v>3200</v>
      </c>
      <c r="L76" s="7" t="n">
        <f aca="false">I76*K76</f>
        <v>6400</v>
      </c>
      <c r="M76" s="6" t="str">
        <f aca="false">IF(A76="BRK",ROUNDUP(I76/2000,0),IF(OR(A76="SNDC",A76="SNDM",A76="CRS",A76="KHG",A76="EARTH"),ROUNDUP(I76/100,0),""))</f>
        <v/>
      </c>
      <c r="N76" s="14" t="str">
        <f aca="false">INDEX(Rates!$J$5:$J$84,MATCH(A76,Rates!$A$5:$A$84,0))</f>
        <v>Electrical</v>
      </c>
    </row>
    <row r="77" customFormat="false" ht="15" hidden="false" customHeight="false" outlineLevel="0" collapsed="false">
      <c r="A77" s="6" t="s">
        <v>240</v>
      </c>
      <c r="B77" s="14" t="str">
        <f aca="false">INDEX(Rates!$B$5:$B$84,MATCH(A77,Rates!$A$5:$A$84,0))</f>
        <v>DB enclosure 6-way (empty)</v>
      </c>
      <c r="C77" s="14" t="str">
        <f aca="false">INDEX(Rates!$C$5:$C$84,MATCH(A77,Rates!$A$5:$A$84,0))</f>
        <v>nos</v>
      </c>
      <c r="D77" s="12" t="n">
        <f aca="false">SUMIF(BOQ!$M$5:$M$452,A77,BOQ!$O$5:$O$452)</f>
        <v>1</v>
      </c>
      <c r="E77" s="15" t="n">
        <f aca="false">IFERROR(INDEX(Rates!$D$5:$D$84,MATCH(A77,Rates!$A$5:$A$84,0)),0)</f>
        <v>0</v>
      </c>
      <c r="F77" s="12" t="n">
        <f aca="false">D77*(1+E77)</f>
        <v>1</v>
      </c>
      <c r="G77" s="14" t="str">
        <f aca="false">INDEX(Rates!$F$5:$F$84,MATCH(A77,Rates!$A$5:$A$84,0))</f>
        <v>nos</v>
      </c>
      <c r="H77" s="14" t="n">
        <f aca="false">INDEX(Rates!$G$5:$G$84,MATCH(A77,Rates!$A$5:$A$84,0))</f>
        <v>1</v>
      </c>
      <c r="I77" s="12" t="n">
        <f aca="false">ROUNDUP(F77/H77,0)*H77</f>
        <v>1</v>
      </c>
      <c r="J77" s="19" t="n">
        <f aca="false">I77/H77</f>
        <v>1</v>
      </c>
      <c r="K77" s="16" t="n">
        <f aca="false">IFERROR(INDEX(Rates!$E$5:$E$84,MATCH(A77,Rates!$A$5:$A$84,0)),0)</f>
        <v>2800</v>
      </c>
      <c r="L77" s="7" t="n">
        <f aca="false">I77*K77</f>
        <v>2800</v>
      </c>
      <c r="M77" s="6" t="str">
        <f aca="false">IF(A77="BRK",ROUNDUP(I77/2000,0),IF(OR(A77="SNDC",A77="SNDM",A77="CRS",A77="KHG",A77="EARTH"),ROUNDUP(I77/100,0),""))</f>
        <v/>
      </c>
      <c r="N77" s="14" t="str">
        <f aca="false">INDEX(Rates!$J$5:$J$84,MATCH(A77,Rates!$A$5:$A$84,0))</f>
        <v>Electrical</v>
      </c>
    </row>
    <row r="78" customFormat="false" ht="15" hidden="false" customHeight="false" outlineLevel="0" collapsed="false">
      <c r="A78" s="6" t="s">
        <v>242</v>
      </c>
      <c r="B78" s="14" t="str">
        <f aca="false">INDEX(Rates!$B$5:$B$84,MATCH(A78,Rates!$A$5:$A$84,0))</f>
        <v>DB enclosure 4-way (empty)</v>
      </c>
      <c r="C78" s="14" t="str">
        <f aca="false">INDEX(Rates!$C$5:$C$84,MATCH(A78,Rates!$A$5:$A$84,0))</f>
        <v>nos</v>
      </c>
      <c r="D78" s="12" t="n">
        <f aca="false">SUMIF(BOQ!$M$5:$M$452,A78,BOQ!$O$5:$O$452)</f>
        <v>2</v>
      </c>
      <c r="E78" s="15" t="n">
        <f aca="false">IFERROR(INDEX(Rates!$D$5:$D$84,MATCH(A78,Rates!$A$5:$A$84,0)),0)</f>
        <v>0</v>
      </c>
      <c r="F78" s="12" t="n">
        <f aca="false">D78*(1+E78)</f>
        <v>2</v>
      </c>
      <c r="G78" s="14" t="str">
        <f aca="false">INDEX(Rates!$F$5:$F$84,MATCH(A78,Rates!$A$5:$A$84,0))</f>
        <v>nos</v>
      </c>
      <c r="H78" s="14" t="n">
        <f aca="false">INDEX(Rates!$G$5:$G$84,MATCH(A78,Rates!$A$5:$A$84,0))</f>
        <v>1</v>
      </c>
      <c r="I78" s="12" t="n">
        <f aca="false">ROUNDUP(F78/H78,0)*H78</f>
        <v>2</v>
      </c>
      <c r="J78" s="19" t="n">
        <f aca="false">I78/H78</f>
        <v>2</v>
      </c>
      <c r="K78" s="16" t="n">
        <f aca="false">IFERROR(INDEX(Rates!$E$5:$E$84,MATCH(A78,Rates!$A$5:$A$84,0)),0)</f>
        <v>2000</v>
      </c>
      <c r="L78" s="7" t="n">
        <f aca="false">I78*K78</f>
        <v>4000</v>
      </c>
      <c r="M78" s="6" t="str">
        <f aca="false">IF(A78="BRK",ROUNDUP(I78/2000,0),IF(OR(A78="SNDC",A78="SNDM",A78="CRS",A78="KHG",A78="EARTH"),ROUNDUP(I78/100,0),""))</f>
        <v/>
      </c>
      <c r="N78" s="14" t="str">
        <f aca="false">INDEX(Rates!$J$5:$J$84,MATCH(A78,Rates!$A$5:$A$84,0))</f>
        <v>Electrical</v>
      </c>
    </row>
    <row r="79" customFormat="false" ht="15" hidden="false" customHeight="false" outlineLevel="0" collapsed="false">
      <c r="A79" s="6" t="s">
        <v>244</v>
      </c>
      <c r="B79" s="14" t="str">
        <f aca="false">INDEX(Rates!$B$5:$B$84,MATCH(A79,Rates!$A$5:$A$84,0))</f>
        <v>EV charger isolator enclosure</v>
      </c>
      <c r="C79" s="14" t="str">
        <f aca="false">INDEX(Rates!$C$5:$C$84,MATCH(A79,Rates!$A$5:$A$84,0))</f>
        <v>nos</v>
      </c>
      <c r="D79" s="12" t="n">
        <f aca="false">SUMIF(BOQ!$M$5:$M$452,A79,BOQ!$O$5:$O$452)</f>
        <v>1</v>
      </c>
      <c r="E79" s="15" t="n">
        <f aca="false">IFERROR(INDEX(Rates!$D$5:$D$84,MATCH(A79,Rates!$A$5:$A$84,0)),0)</f>
        <v>0</v>
      </c>
      <c r="F79" s="12" t="n">
        <f aca="false">D79*(1+E79)</f>
        <v>1</v>
      </c>
      <c r="G79" s="14" t="str">
        <f aca="false">INDEX(Rates!$F$5:$F$84,MATCH(A79,Rates!$A$5:$A$84,0))</f>
        <v>nos</v>
      </c>
      <c r="H79" s="14" t="n">
        <f aca="false">INDEX(Rates!$G$5:$G$84,MATCH(A79,Rates!$A$5:$A$84,0))</f>
        <v>1</v>
      </c>
      <c r="I79" s="12" t="n">
        <f aca="false">ROUNDUP(F79/H79,0)*H79</f>
        <v>1</v>
      </c>
      <c r="J79" s="19" t="n">
        <f aca="false">I79/H79</f>
        <v>1</v>
      </c>
      <c r="K79" s="16" t="n">
        <f aca="false">IFERROR(INDEX(Rates!$E$5:$E$84,MATCH(A79,Rates!$A$5:$A$84,0)),0)</f>
        <v>2500</v>
      </c>
      <c r="L79" s="7" t="n">
        <f aca="false">I79*K79</f>
        <v>2500</v>
      </c>
      <c r="M79" s="6" t="str">
        <f aca="false">IF(A79="BRK",ROUNDUP(I79/2000,0),IF(OR(A79="SNDC",A79="SNDM",A79="CRS",A79="KHG",A79="EARTH"),ROUNDUP(I79/100,0),""))</f>
        <v/>
      </c>
      <c r="N79" s="14" t="str">
        <f aca="false">INDEX(Rates!$J$5:$J$84,MATCH(A79,Rates!$A$5:$A$84,0))</f>
        <v>Electrical</v>
      </c>
    </row>
    <row r="80" customFormat="false" ht="15" hidden="false" customHeight="false" outlineLevel="0" collapsed="false">
      <c r="A80" s="6" t="s">
        <v>246</v>
      </c>
      <c r="B80" s="14" t="str">
        <f aca="false">INDEX(Rates!$B$5:$B$84,MATCH(A80,Rates!$A$5:$A$84,0))</f>
        <v>Copper-bonded earth rod 5/8" x 10 ft</v>
      </c>
      <c r="C80" s="14" t="str">
        <f aca="false">INDEX(Rates!$C$5:$C$84,MATCH(A80,Rates!$A$5:$A$84,0))</f>
        <v>nos</v>
      </c>
      <c r="D80" s="12" t="n">
        <f aca="false">SUMIF(BOQ!$M$5:$M$452,A80,BOQ!$O$5:$O$452)</f>
        <v>3</v>
      </c>
      <c r="E80" s="15" t="n">
        <f aca="false">IFERROR(INDEX(Rates!$D$5:$D$84,MATCH(A80,Rates!$A$5:$A$84,0)),0)</f>
        <v>0</v>
      </c>
      <c r="F80" s="12" t="n">
        <f aca="false">D80*(1+E80)</f>
        <v>3</v>
      </c>
      <c r="G80" s="14" t="str">
        <f aca="false">INDEX(Rates!$F$5:$F$84,MATCH(A80,Rates!$A$5:$A$84,0))</f>
        <v>nos</v>
      </c>
      <c r="H80" s="14" t="n">
        <f aca="false">INDEX(Rates!$G$5:$G$84,MATCH(A80,Rates!$A$5:$A$84,0))</f>
        <v>1</v>
      </c>
      <c r="I80" s="12" t="n">
        <f aca="false">ROUNDUP(F80/H80,0)*H80</f>
        <v>3</v>
      </c>
      <c r="J80" s="19" t="n">
        <f aca="false">I80/H80</f>
        <v>3</v>
      </c>
      <c r="K80" s="16" t="n">
        <f aca="false">IFERROR(INDEX(Rates!$E$5:$E$84,MATCH(A80,Rates!$A$5:$A$84,0)),0)</f>
        <v>9000</v>
      </c>
      <c r="L80" s="7" t="n">
        <f aca="false">I80*K80</f>
        <v>27000</v>
      </c>
      <c r="M80" s="6" t="str">
        <f aca="false">IF(A80="BRK",ROUNDUP(I80/2000,0),IF(OR(A80="SNDC",A80="SNDM",A80="CRS",A80="KHG",A80="EARTH"),ROUNDUP(I80/100,0),""))</f>
        <v/>
      </c>
      <c r="N80" s="14" t="str">
        <f aca="false">INDEX(Rates!$J$5:$J$84,MATCH(A80,Rates!$A$5:$A$84,0))</f>
        <v>Earthing</v>
      </c>
    </row>
    <row r="81" customFormat="false" ht="15" hidden="false" customHeight="false" outlineLevel="0" collapsed="false">
      <c r="A81" s="6" t="s">
        <v>249</v>
      </c>
      <c r="B81" s="14" t="str">
        <f aca="false">INDEX(Rates!$B$5:$B$84,MATCH(A81,Rates!$A$5:$A$84,0))</f>
        <v>Earthing compound, 25 kg bag</v>
      </c>
      <c r="C81" s="14" t="str">
        <f aca="false">INDEX(Rates!$C$5:$C$84,MATCH(A81,Rates!$A$5:$A$84,0))</f>
        <v>bag</v>
      </c>
      <c r="D81" s="12" t="n">
        <f aca="false">SUMIF(BOQ!$M$5:$M$452,A81,BOQ!$O$5:$O$452)</f>
        <v>6</v>
      </c>
      <c r="E81" s="15" t="n">
        <f aca="false">IFERROR(INDEX(Rates!$D$5:$D$84,MATCH(A81,Rates!$A$5:$A$84,0)),0)</f>
        <v>0</v>
      </c>
      <c r="F81" s="12" t="n">
        <f aca="false">D81*(1+E81)</f>
        <v>6</v>
      </c>
      <c r="G81" s="14" t="str">
        <f aca="false">INDEX(Rates!$F$5:$F$84,MATCH(A81,Rates!$A$5:$A$84,0))</f>
        <v>bag</v>
      </c>
      <c r="H81" s="14" t="n">
        <f aca="false">INDEX(Rates!$G$5:$G$84,MATCH(A81,Rates!$A$5:$A$84,0))</f>
        <v>1</v>
      </c>
      <c r="I81" s="12" t="n">
        <f aca="false">ROUNDUP(F81/H81,0)*H81</f>
        <v>6</v>
      </c>
      <c r="J81" s="19" t="n">
        <f aca="false">I81/H81</f>
        <v>6</v>
      </c>
      <c r="K81" s="16" t="n">
        <f aca="false">IFERROR(INDEX(Rates!$E$5:$E$84,MATCH(A81,Rates!$A$5:$A$84,0)),0)</f>
        <v>3500</v>
      </c>
      <c r="L81" s="7" t="n">
        <f aca="false">I81*K81</f>
        <v>21000</v>
      </c>
      <c r="M81" s="6" t="str">
        <f aca="false">IF(A81="BRK",ROUNDUP(I81/2000,0),IF(OR(A81="SNDC",A81="SNDM",A81="CRS",A81="KHG",A81="EARTH"),ROUNDUP(I81/100,0),""))</f>
        <v/>
      </c>
      <c r="N81" s="14" t="str">
        <f aca="false">INDEX(Rates!$J$5:$J$84,MATCH(A81,Rates!$A$5:$A$84,0))</f>
        <v>Earthing</v>
      </c>
    </row>
    <row r="82" customFormat="false" ht="15" hidden="false" customHeight="false" outlineLevel="0" collapsed="false">
      <c r="A82" s="6" t="s">
        <v>251</v>
      </c>
      <c r="B82" s="14" t="str">
        <f aca="false">INDEX(Rates!$B$5:$B$84,MATCH(A82,Rates!$A$5:$A$84,0))</f>
        <v>Earth-pit inspection chamber with cover</v>
      </c>
      <c r="C82" s="14" t="str">
        <f aca="false">INDEX(Rates!$C$5:$C$84,MATCH(A82,Rates!$A$5:$A$84,0))</f>
        <v>nos</v>
      </c>
      <c r="D82" s="12" t="n">
        <f aca="false">SUMIF(BOQ!$M$5:$M$452,A82,BOQ!$O$5:$O$452)</f>
        <v>3</v>
      </c>
      <c r="E82" s="15" t="n">
        <f aca="false">IFERROR(INDEX(Rates!$D$5:$D$84,MATCH(A82,Rates!$A$5:$A$84,0)),0)</f>
        <v>0</v>
      </c>
      <c r="F82" s="12" t="n">
        <f aca="false">D82*(1+E82)</f>
        <v>3</v>
      </c>
      <c r="G82" s="14" t="str">
        <f aca="false">INDEX(Rates!$F$5:$F$84,MATCH(A82,Rates!$A$5:$A$84,0))</f>
        <v>nos</v>
      </c>
      <c r="H82" s="14" t="n">
        <f aca="false">INDEX(Rates!$G$5:$G$84,MATCH(A82,Rates!$A$5:$A$84,0))</f>
        <v>1</v>
      </c>
      <c r="I82" s="12" t="n">
        <f aca="false">ROUNDUP(F82/H82,0)*H82</f>
        <v>3</v>
      </c>
      <c r="J82" s="19" t="n">
        <f aca="false">I82/H82</f>
        <v>3</v>
      </c>
      <c r="K82" s="16" t="n">
        <f aca="false">IFERROR(INDEX(Rates!$E$5:$E$84,MATCH(A82,Rates!$A$5:$A$84,0)),0)</f>
        <v>3000</v>
      </c>
      <c r="L82" s="7" t="n">
        <f aca="false">I82*K82</f>
        <v>9000</v>
      </c>
      <c r="M82" s="6" t="str">
        <f aca="false">IF(A82="BRK",ROUNDUP(I82/2000,0),IF(OR(A82="SNDC",A82="SNDM",A82="CRS",A82="KHG",A82="EARTH"),ROUNDUP(I82/100,0),""))</f>
        <v/>
      </c>
      <c r="N82" s="14" t="str">
        <f aca="false">INDEX(Rates!$J$5:$J$84,MATCH(A82,Rates!$A$5:$A$84,0))</f>
        <v>Earthing</v>
      </c>
    </row>
    <row r="83" customFormat="false" ht="15" hidden="false" customHeight="false" outlineLevel="0" collapsed="false">
      <c r="A83" s="6" t="s">
        <v>253</v>
      </c>
      <c r="B83" s="14" t="str">
        <f aca="false">INDEX(Rates!$B$5:$B$84,MATCH(A83,Rates!$A$5:$A$84,0))</f>
        <v>PVC sleeve 2"</v>
      </c>
      <c r="C83" s="14" t="str">
        <f aca="false">INDEX(Rates!$C$5:$C$84,MATCH(A83,Rates!$A$5:$A$84,0))</f>
        <v>ft</v>
      </c>
      <c r="D83" s="12" t="n">
        <f aca="false">SUMIF(BOQ!$M$5:$M$452,A83,BOQ!$O$5:$O$452)</f>
        <v>6</v>
      </c>
      <c r="E83" s="15" t="n">
        <f aca="false">IFERROR(INDEX(Rates!$D$5:$D$84,MATCH(A83,Rates!$A$5:$A$84,0)),0)</f>
        <v>0</v>
      </c>
      <c r="F83" s="12" t="n">
        <f aca="false">D83*(1+E83)</f>
        <v>6</v>
      </c>
      <c r="G83" s="14" t="str">
        <f aca="false">INDEX(Rates!$F$5:$F$84,MATCH(A83,Rates!$A$5:$A$84,0))</f>
        <v>ft</v>
      </c>
      <c r="H83" s="14" t="n">
        <f aca="false">INDEX(Rates!$G$5:$G$84,MATCH(A83,Rates!$A$5:$A$84,0))</f>
        <v>1</v>
      </c>
      <c r="I83" s="12" t="n">
        <f aca="false">ROUNDUP(F83/H83,0)*H83</f>
        <v>6</v>
      </c>
      <c r="J83" s="19" t="n">
        <f aca="false">I83/H83</f>
        <v>6</v>
      </c>
      <c r="K83" s="16" t="n">
        <f aca="false">IFERROR(INDEX(Rates!$E$5:$E$84,MATCH(A83,Rates!$A$5:$A$84,0)),0)</f>
        <v>120</v>
      </c>
      <c r="L83" s="7" t="n">
        <f aca="false">I83*K83</f>
        <v>720</v>
      </c>
      <c r="M83" s="6" t="str">
        <f aca="false">IF(A83="BRK",ROUNDUP(I83/2000,0),IF(OR(A83="SNDC",A83="SNDM",A83="CRS",A83="KHG",A83="EARTH"),ROUNDUP(I83/100,0),""))</f>
        <v/>
      </c>
      <c r="N83" s="14" t="str">
        <f aca="false">INDEX(Rates!$J$5:$J$84,MATCH(A83,Rates!$A$5:$A$84,0))</f>
        <v>Electrical</v>
      </c>
    </row>
    <row r="84" customFormat="false" ht="15" hidden="false" customHeight="false" outlineLevel="0" collapsed="false">
      <c r="A84" s="6" t="s">
        <v>255</v>
      </c>
      <c r="B84" s="14" t="str">
        <f aca="false">INDEX(Rates!$B$5:$B$84,MATCH(A84,Rates!$A$5:$A$84,0))</f>
        <v>M12 x 250 mm galvanised J-bolt with nut and washer</v>
      </c>
      <c r="C84" s="14" t="str">
        <f aca="false">INDEX(Rates!$C$5:$C$84,MATCH(A84,Rates!$A$5:$A$84,0))</f>
        <v>nos</v>
      </c>
      <c r="D84" s="12" t="n">
        <f aca="false">SUMIF(BOQ!$M$5:$M$452,A84,BOQ!$O$5:$O$452)</f>
        <v>68</v>
      </c>
      <c r="E84" s="15" t="n">
        <f aca="false">IFERROR(INDEX(Rates!$D$5:$D$84,MATCH(A84,Rates!$A$5:$A$84,0)),0)</f>
        <v>0</v>
      </c>
      <c r="F84" s="12" t="n">
        <f aca="false">D84*(1+E84)</f>
        <v>68</v>
      </c>
      <c r="G84" s="14" t="str">
        <f aca="false">INDEX(Rates!$F$5:$F$84,MATCH(A84,Rates!$A$5:$A$84,0))</f>
        <v>nos</v>
      </c>
      <c r="H84" s="14" t="n">
        <f aca="false">INDEX(Rates!$G$5:$G$84,MATCH(A84,Rates!$A$5:$A$84,0))</f>
        <v>1</v>
      </c>
      <c r="I84" s="12" t="n">
        <f aca="false">ROUNDUP(F84/H84,0)*H84</f>
        <v>68</v>
      </c>
      <c r="J84" s="19" t="n">
        <f aca="false">I84/H84</f>
        <v>68</v>
      </c>
      <c r="K84" s="16" t="n">
        <f aca="false">IFERROR(INDEX(Rates!$E$5:$E$84,MATCH(A84,Rates!$A$5:$A$84,0)),0)</f>
        <v>250</v>
      </c>
      <c r="L84" s="7" t="n">
        <f aca="false">I84*K84</f>
        <v>17000</v>
      </c>
      <c r="M84" s="6" t="str">
        <f aca="false">IF(A84="BRK",ROUNDUP(I84/2000,0),IF(OR(A84="SNDC",A84="SNDM",A84="CRS",A84="KHG",A84="EARTH"),ROUNDUP(I84/100,0),""))</f>
        <v/>
      </c>
      <c r="N84" s="14" t="str">
        <f aca="false">INDEX(Rates!$J$5:$J$84,MATCH(A84,Rates!$A$5:$A$84,0))</f>
        <v>Solar plinths</v>
      </c>
    </row>
    <row r="86" customFormat="false" ht="15" hidden="false" customHeight="false" outlineLevel="0" collapsed="false">
      <c r="B86" s="3" t="s">
        <v>1046</v>
      </c>
      <c r="L86" s="4" t="n">
        <f aca="false">SUM(L5:L84)</f>
        <v>9189795</v>
      </c>
    </row>
    <row r="87" customFormat="false" ht="15" hidden="false" customHeight="false" outlineLevel="0" collapsed="false">
      <c r="B87" s="2" t="s">
        <v>1047</v>
      </c>
      <c r="L87" s="20" t="n">
        <v>4104</v>
      </c>
    </row>
    <row r="88" customFormat="false" ht="15" hidden="false" customHeight="false" outlineLevel="0" collapsed="false">
      <c r="B88" s="3" t="s">
        <v>4</v>
      </c>
      <c r="L88" s="4" t="n">
        <f aca="false">L86/L87</f>
        <v>2239.22880116959</v>
      </c>
    </row>
    <row r="89" customFormat="false" ht="15" hidden="false" customHeight="false" outlineLevel="0" collapsed="false">
      <c r="B89" s="2" t="s">
        <v>1048</v>
      </c>
      <c r="L89" s="21" t="n">
        <f aca="false">BOQ!T454+F11*K11</f>
        <v>9132443.578296</v>
      </c>
    </row>
    <row r="90" customFormat="false" ht="15" hidden="false" customHeight="false" outlineLevel="0" collapsed="false">
      <c r="B90" s="2" t="s">
        <v>1049</v>
      </c>
      <c r="L90" s="21" t="n">
        <f aca="false">L86-L89</f>
        <v>57351.4217040017</v>
      </c>
    </row>
    <row r="93" customFormat="false" ht="15" hidden="false" customHeight="false" outlineLevel="0" collapsed="false">
      <c r="B93" s="3" t="s">
        <v>1050</v>
      </c>
    </row>
    <row r="94" customFormat="false" ht="15" hidden="false" customHeight="false" outlineLevel="0" collapsed="false">
      <c r="B94" s="2" t="s">
        <v>42</v>
      </c>
      <c r="L94" s="22" t="n">
        <f aca="false">SUMIF(N5:N84,B94,L5:L84)</f>
        <v>2408640</v>
      </c>
    </row>
    <row r="95" customFormat="false" ht="15" hidden="false" customHeight="false" outlineLevel="0" collapsed="false">
      <c r="B95" s="2" t="s">
        <v>49</v>
      </c>
      <c r="L95" s="22" t="n">
        <f aca="false">SUMIF(N5:N84,B95,L5:L84)</f>
        <v>2128000</v>
      </c>
    </row>
    <row r="96" customFormat="false" ht="15" hidden="false" customHeight="false" outlineLevel="0" collapsed="false">
      <c r="B96" s="2" t="s">
        <v>55</v>
      </c>
      <c r="L96" s="22" t="n">
        <f aca="false">SUMIF(N5:N84,B96,L5:L84)</f>
        <v>1967540</v>
      </c>
    </row>
    <row r="97" customFormat="false" ht="15" hidden="false" customHeight="false" outlineLevel="0" collapsed="false">
      <c r="B97" s="2" t="s">
        <v>75</v>
      </c>
      <c r="L97" s="22" t="n">
        <f aca="false">SUMIF(N5:N84,B97,L5:L84)</f>
        <v>381750</v>
      </c>
    </row>
    <row r="98" customFormat="false" ht="15" hidden="false" customHeight="false" outlineLevel="0" collapsed="false">
      <c r="B98" s="2" t="s">
        <v>82</v>
      </c>
      <c r="L98" s="22" t="n">
        <f aca="false">SUMIF(N5:N84,B98,L5:L84)</f>
        <v>440000</v>
      </c>
    </row>
    <row r="99" customFormat="false" ht="15" hidden="false" customHeight="false" outlineLevel="0" collapsed="false">
      <c r="B99" s="2" t="s">
        <v>85</v>
      </c>
      <c r="L99" s="22" t="n">
        <f aca="false">SUMIF(N5:N84,B99,L5:L84)</f>
        <v>63000</v>
      </c>
    </row>
    <row r="100" customFormat="false" ht="15" hidden="false" customHeight="false" outlineLevel="0" collapsed="false">
      <c r="B100" s="2" t="s">
        <v>89</v>
      </c>
      <c r="L100" s="22" t="n">
        <f aca="false">SUMIF(N5:N84,B100,L5:L84)</f>
        <v>105000</v>
      </c>
    </row>
    <row r="101" customFormat="false" ht="15" hidden="false" customHeight="false" outlineLevel="0" collapsed="false">
      <c r="B101" s="2" t="s">
        <v>92</v>
      </c>
      <c r="L101" s="22" t="n">
        <f aca="false">SUMIF(N5:N84,B101,L5:L84)</f>
        <v>498720</v>
      </c>
    </row>
    <row r="102" customFormat="false" ht="15" hidden="false" customHeight="false" outlineLevel="0" collapsed="false">
      <c r="B102" s="2" t="s">
        <v>121</v>
      </c>
      <c r="L102" s="22" t="n">
        <f aca="false">SUMIF(N5:N84,B102,L5:L84)</f>
        <v>42000</v>
      </c>
    </row>
    <row r="103" customFormat="false" ht="15" hidden="false" customHeight="false" outlineLevel="0" collapsed="false">
      <c r="B103" s="2" t="s">
        <v>125</v>
      </c>
      <c r="L103" s="22" t="n">
        <f aca="false">SUMIF(N5:N84,B103,L5:L84)</f>
        <v>106000</v>
      </c>
    </row>
    <row r="104" customFormat="false" ht="15" hidden="false" customHeight="false" outlineLevel="0" collapsed="false">
      <c r="B104" s="2" t="s">
        <v>129</v>
      </c>
      <c r="L104" s="22" t="n">
        <f aca="false">SUMIF(N5:N84,B104,L5:L84)</f>
        <v>105750</v>
      </c>
    </row>
    <row r="105" customFormat="false" ht="15" hidden="false" customHeight="false" outlineLevel="0" collapsed="false">
      <c r="B105" s="2" t="s">
        <v>135</v>
      </c>
      <c r="L105" s="22" t="n">
        <f aca="false">SUMIF(N5:N84,B105,L5:L84)</f>
        <v>299550</v>
      </c>
    </row>
    <row r="106" customFormat="false" ht="15" hidden="false" customHeight="false" outlineLevel="0" collapsed="false">
      <c r="B106" s="2" t="s">
        <v>152</v>
      </c>
      <c r="L106" s="22" t="n">
        <f aca="false">SUMIF(N5:N84,B106,L5:L84)</f>
        <v>42000</v>
      </c>
    </row>
    <row r="107" customFormat="false" ht="15" hidden="false" customHeight="false" outlineLevel="0" collapsed="false">
      <c r="B107" s="2" t="s">
        <v>165</v>
      </c>
      <c r="L107" s="22" t="n">
        <f aca="false">SUMIF(N5:N84,B107,L5:L84)</f>
        <v>219325</v>
      </c>
    </row>
    <row r="108" customFormat="false" ht="15" hidden="false" customHeight="false" outlineLevel="0" collapsed="false">
      <c r="B108" s="2" t="s">
        <v>182</v>
      </c>
      <c r="L108" s="22" t="n">
        <f aca="false">SUMIF(N5:N84,B108,L5:L84)</f>
        <v>66200</v>
      </c>
    </row>
    <row r="109" customFormat="false" ht="15" hidden="false" customHeight="false" outlineLevel="0" collapsed="false">
      <c r="B109" s="2" t="s">
        <v>193</v>
      </c>
      <c r="L109" s="22" t="n">
        <f aca="false">SUMIF(N5:N84,B109,L5:L84)</f>
        <v>242320</v>
      </c>
    </row>
    <row r="110" customFormat="false" ht="15" hidden="false" customHeight="false" outlineLevel="0" collapsed="false">
      <c r="B110" s="2" t="s">
        <v>248</v>
      </c>
      <c r="L110" s="22" t="n">
        <f aca="false">SUMIF(N5:N84,B110,L5:L84)</f>
        <v>57000</v>
      </c>
    </row>
    <row r="111" customFormat="false" ht="15" hidden="false" customHeight="false" outlineLevel="0" collapsed="false">
      <c r="B111" s="2" t="s">
        <v>257</v>
      </c>
      <c r="L111" s="22" t="n">
        <f aca="false">SUMIF(N5:N84,B111,L5:L84)</f>
        <v>17000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14" min="4" style="0" width="11"/>
  </cols>
  <sheetData>
    <row r="1" customFormat="false" ht="17.35" hidden="false" customHeight="false" outlineLevel="0" collapsed="false">
      <c r="A1" s="1" t="s">
        <v>1051</v>
      </c>
    </row>
    <row r="3" customFormat="false" ht="22.35" hidden="false" customHeight="false" outlineLevel="0" collapsed="false">
      <c r="A3" s="8" t="s">
        <v>262</v>
      </c>
      <c r="B3" s="8" t="s">
        <v>263</v>
      </c>
      <c r="C3" s="8" t="s">
        <v>1052</v>
      </c>
      <c r="D3" s="8" t="s">
        <v>1053</v>
      </c>
      <c r="E3" s="8" t="s">
        <v>1054</v>
      </c>
      <c r="F3" s="8" t="s">
        <v>1055</v>
      </c>
      <c r="G3" s="8" t="s">
        <v>1056</v>
      </c>
      <c r="H3" s="8" t="s">
        <v>1057</v>
      </c>
      <c r="I3" s="8" t="s">
        <v>1058</v>
      </c>
      <c r="J3" s="8" t="s">
        <v>1059</v>
      </c>
      <c r="K3" s="8" t="s">
        <v>1060</v>
      </c>
      <c r="L3" s="8" t="s">
        <v>1061</v>
      </c>
      <c r="M3" s="8" t="s">
        <v>1062</v>
      </c>
      <c r="N3" s="8" t="s">
        <v>1063</v>
      </c>
    </row>
    <row r="4" customFormat="false" ht="15" hidden="false" customHeight="false" outlineLevel="0" collapsed="false">
      <c r="A4" s="6" t="s">
        <v>280</v>
      </c>
      <c r="B4" s="6" t="s">
        <v>281</v>
      </c>
      <c r="C4" s="7" t="n">
        <f aca="false">SUMIF(BOQ!$A$5:$A$452,A4,BOQ!$T$5:$T$452)</f>
        <v>0</v>
      </c>
      <c r="D4" s="7" t="n">
        <f aca="false">SUMIFS(BOQ!$R$5:$R$452,BOQ!$A$5:$A$452,$A4,BOQ!$M$5:$M$452,"CEM")</f>
        <v>0</v>
      </c>
      <c r="E4" s="7" t="n">
        <f aca="false">SUMIFS(BOQ!$R$5:$R$452,BOQ!$A$5:$A$452,$A4,BOQ!$M$5:$M$452,"BRK")</f>
        <v>0</v>
      </c>
      <c r="F4" s="7" t="n">
        <f aca="false">SUMIFS(BOQ!$R$5:$R$452,BOQ!$A$5:$A$452,$A4,BOQ!$M$5:$M$452,"ST2")</f>
        <v>0</v>
      </c>
      <c r="G4" s="7" t="n">
        <f aca="false">SUMIFS(BOQ!$R$5:$R$452,BOQ!$A$5:$A$452,$A4,BOQ!$M$5:$M$452,"ST3")</f>
        <v>0</v>
      </c>
      <c r="H4" s="7" t="n">
        <f aca="false">SUMIFS(BOQ!$R$5:$R$452,BOQ!$A$5:$A$452,$A4,BOQ!$M$5:$M$452,"ST4")</f>
        <v>0</v>
      </c>
      <c r="I4" s="7" t="n">
        <f aca="false">SUMIFS(BOQ!$R$5:$R$452,BOQ!$A$5:$A$452,$A4,BOQ!$M$5:$M$452,"ST6")</f>
        <v>0</v>
      </c>
      <c r="J4" s="7" t="n">
        <f aca="false">SUMIFS(BOQ!$R$5:$R$452,BOQ!$A$5:$A$452,$A4,BOQ!$M$5:$M$452,"SNDC")</f>
        <v>0</v>
      </c>
      <c r="K4" s="7" t="n">
        <f aca="false">SUMIFS(BOQ!$R$5:$R$452,BOQ!$A$5:$A$452,$A4,BOQ!$M$5:$M$452,"SNDM")</f>
        <v>0</v>
      </c>
      <c r="L4" s="7" t="n">
        <f aca="false">SUMIFS(BOQ!$R$5:$R$452,BOQ!$A$5:$A$452,$A4,BOQ!$M$5:$M$452,"CRS")</f>
        <v>0</v>
      </c>
      <c r="M4" s="7" t="n">
        <f aca="false">SUMIFS(BOQ!$R$5:$R$452,BOQ!$A$5:$A$452,$A4,BOQ!$M$5:$M$452,"KHG")</f>
        <v>0</v>
      </c>
      <c r="N4" s="7" t="n">
        <f aca="false">SUMIFS(BOQ!$R$5:$R$452,BOQ!$A$5:$A$452,$A4,BOQ!$M$5:$M$452,"EARTH")</f>
        <v>0</v>
      </c>
    </row>
    <row r="5" customFormat="false" ht="15" hidden="false" customHeight="false" outlineLevel="0" collapsed="false">
      <c r="A5" s="6" t="s">
        <v>289</v>
      </c>
      <c r="B5" s="6" t="s">
        <v>290</v>
      </c>
      <c r="C5" s="7" t="n">
        <f aca="false">SUMIF(BOQ!$A$5:$A$452,A5,BOQ!$T$5:$T$452)</f>
        <v>0</v>
      </c>
      <c r="D5" s="7" t="n">
        <f aca="false">SUMIFS(BOQ!$R$5:$R$452,BOQ!$A$5:$A$452,$A5,BOQ!$M$5:$M$452,"CEM")</f>
        <v>0</v>
      </c>
      <c r="E5" s="7" t="n">
        <f aca="false">SUMIFS(BOQ!$R$5:$R$452,BOQ!$A$5:$A$452,$A5,BOQ!$M$5:$M$452,"BRK")</f>
        <v>0</v>
      </c>
      <c r="F5" s="7" t="n">
        <f aca="false">SUMIFS(BOQ!$R$5:$R$452,BOQ!$A$5:$A$452,$A5,BOQ!$M$5:$M$452,"ST2")</f>
        <v>0</v>
      </c>
      <c r="G5" s="7" t="n">
        <f aca="false">SUMIFS(BOQ!$R$5:$R$452,BOQ!$A$5:$A$452,$A5,BOQ!$M$5:$M$452,"ST3")</f>
        <v>0</v>
      </c>
      <c r="H5" s="7" t="n">
        <f aca="false">SUMIFS(BOQ!$R$5:$R$452,BOQ!$A$5:$A$452,$A5,BOQ!$M$5:$M$452,"ST4")</f>
        <v>0</v>
      </c>
      <c r="I5" s="7" t="n">
        <f aca="false">SUMIFS(BOQ!$R$5:$R$452,BOQ!$A$5:$A$452,$A5,BOQ!$M$5:$M$452,"ST6")</f>
        <v>0</v>
      </c>
      <c r="J5" s="7" t="n">
        <f aca="false">SUMIFS(BOQ!$R$5:$R$452,BOQ!$A$5:$A$452,$A5,BOQ!$M$5:$M$452,"SNDC")</f>
        <v>0</v>
      </c>
      <c r="K5" s="7" t="n">
        <f aca="false">SUMIFS(BOQ!$R$5:$R$452,BOQ!$A$5:$A$452,$A5,BOQ!$M$5:$M$452,"SNDM")</f>
        <v>0</v>
      </c>
      <c r="L5" s="7" t="n">
        <f aca="false">SUMIFS(BOQ!$R$5:$R$452,BOQ!$A$5:$A$452,$A5,BOQ!$M$5:$M$452,"CRS")</f>
        <v>0</v>
      </c>
      <c r="M5" s="7" t="n">
        <f aca="false">SUMIFS(BOQ!$R$5:$R$452,BOQ!$A$5:$A$452,$A5,BOQ!$M$5:$M$452,"KHG")</f>
        <v>0</v>
      </c>
      <c r="N5" s="7" t="n">
        <f aca="false">SUMIFS(BOQ!$R$5:$R$452,BOQ!$A$5:$A$452,$A5,BOQ!$M$5:$M$452,"EARTH")</f>
        <v>0</v>
      </c>
    </row>
    <row r="6" customFormat="false" ht="15" hidden="false" customHeight="false" outlineLevel="0" collapsed="false">
      <c r="A6" s="6" t="s">
        <v>310</v>
      </c>
      <c r="B6" s="6" t="s">
        <v>311</v>
      </c>
      <c r="C6" s="7" t="n">
        <f aca="false">SUMIF(BOQ!$A$5:$A$452,A6,BOQ!$T$5:$T$452)</f>
        <v>41407.3275</v>
      </c>
      <c r="D6" s="7" t="n">
        <f aca="false">SUMIFS(BOQ!$R$5:$R$452,BOQ!$A$5:$A$452,$A6,BOQ!$M$5:$M$452,"CEM")</f>
        <v>0</v>
      </c>
      <c r="E6" s="7" t="n">
        <f aca="false">SUMIFS(BOQ!$R$5:$R$452,BOQ!$A$5:$A$452,$A6,BOQ!$M$5:$M$452,"BRK")</f>
        <v>0</v>
      </c>
      <c r="F6" s="7" t="n">
        <f aca="false">SUMIFS(BOQ!$R$5:$R$452,BOQ!$A$5:$A$452,$A6,BOQ!$M$5:$M$452,"ST2")</f>
        <v>0</v>
      </c>
      <c r="G6" s="7" t="n">
        <f aca="false">SUMIFS(BOQ!$R$5:$R$452,BOQ!$A$5:$A$452,$A6,BOQ!$M$5:$M$452,"ST3")</f>
        <v>0</v>
      </c>
      <c r="H6" s="7" t="n">
        <f aca="false">SUMIFS(BOQ!$R$5:$R$452,BOQ!$A$5:$A$452,$A6,BOQ!$M$5:$M$452,"ST4")</f>
        <v>0</v>
      </c>
      <c r="I6" s="7" t="n">
        <f aca="false">SUMIFS(BOQ!$R$5:$R$452,BOQ!$A$5:$A$452,$A6,BOQ!$M$5:$M$452,"ST6")</f>
        <v>0</v>
      </c>
      <c r="J6" s="7" t="n">
        <f aca="false">SUMIFS(BOQ!$R$5:$R$452,BOQ!$A$5:$A$452,$A6,BOQ!$M$5:$M$452,"SNDC")</f>
        <v>0</v>
      </c>
      <c r="K6" s="7" t="n">
        <f aca="false">SUMIFS(BOQ!$R$5:$R$452,BOQ!$A$5:$A$452,$A6,BOQ!$M$5:$M$452,"SNDM")</f>
        <v>0</v>
      </c>
      <c r="L6" s="7" t="n">
        <f aca="false">SUMIFS(BOQ!$R$5:$R$452,BOQ!$A$5:$A$452,$A6,BOQ!$M$5:$M$452,"CRS")</f>
        <v>0</v>
      </c>
      <c r="M6" s="7" t="n">
        <f aca="false">SUMIFS(BOQ!$R$5:$R$452,BOQ!$A$5:$A$452,$A6,BOQ!$M$5:$M$452,"KHG")</f>
        <v>0</v>
      </c>
      <c r="N6" s="7" t="n">
        <f aca="false">SUMIFS(BOQ!$R$5:$R$452,BOQ!$A$5:$A$452,$A6,BOQ!$M$5:$M$452,"EARTH")</f>
        <v>0</v>
      </c>
    </row>
    <row r="7" customFormat="false" ht="15" hidden="false" customHeight="false" outlineLevel="0" collapsed="false">
      <c r="A7" s="6" t="s">
        <v>328</v>
      </c>
      <c r="B7" s="6" t="s">
        <v>329</v>
      </c>
      <c r="C7" s="7" t="n">
        <f aca="false">SUMIF(BOQ!$A$5:$A$452,A7,BOQ!$T$5:$T$452)</f>
        <v>853543.59886</v>
      </c>
      <c r="D7" s="7" t="n">
        <f aca="false">SUMIFS(BOQ!$R$5:$R$452,BOQ!$A$5:$A$452,$A7,BOQ!$M$5:$M$452,"CEM")</f>
        <v>142.135056</v>
      </c>
      <c r="E7" s="7" t="n">
        <f aca="false">SUMIFS(BOQ!$R$5:$R$452,BOQ!$A$5:$A$452,$A7,BOQ!$M$5:$M$452,"BRK")</f>
        <v>34314.30681</v>
      </c>
      <c r="F7" s="7" t="n">
        <f aca="false">SUMIFS(BOQ!$R$5:$R$452,BOQ!$A$5:$A$452,$A7,BOQ!$M$5:$M$452,"ST2")</f>
        <v>0</v>
      </c>
      <c r="G7" s="7" t="n">
        <f aca="false">SUMIFS(BOQ!$R$5:$R$452,BOQ!$A$5:$A$452,$A7,BOQ!$M$5:$M$452,"ST3")</f>
        <v>0</v>
      </c>
      <c r="H7" s="7" t="n">
        <f aca="false">SUMIFS(BOQ!$R$5:$R$452,BOQ!$A$5:$A$452,$A7,BOQ!$M$5:$M$452,"ST4")</f>
        <v>12.13212</v>
      </c>
      <c r="I7" s="7" t="n">
        <f aca="false">SUMIFS(BOQ!$R$5:$R$452,BOQ!$A$5:$A$452,$A7,BOQ!$M$5:$M$452,"ST6")</f>
        <v>0</v>
      </c>
      <c r="J7" s="7" t="n">
        <f aca="false">SUMIFS(BOQ!$R$5:$R$452,BOQ!$A$5:$A$452,$A7,BOQ!$M$5:$M$452,"SNDC")</f>
        <v>142.786584</v>
      </c>
      <c r="K7" s="7" t="n">
        <f aca="false">SUMIFS(BOQ!$R$5:$R$452,BOQ!$A$5:$A$452,$A7,BOQ!$M$5:$M$452,"SNDM")</f>
        <v>894.132756</v>
      </c>
      <c r="L7" s="7" t="n">
        <f aca="false">SUMIFS(BOQ!$R$5:$R$452,BOQ!$A$5:$A$452,$A7,BOQ!$M$5:$M$452,"CRS")</f>
        <v>277.64079</v>
      </c>
      <c r="M7" s="7" t="n">
        <f aca="false">SUMIFS(BOQ!$R$5:$R$452,BOQ!$A$5:$A$452,$A7,BOQ!$M$5:$M$452,"KHG")</f>
        <v>0</v>
      </c>
      <c r="N7" s="7" t="n">
        <f aca="false">SUMIFS(BOQ!$R$5:$R$452,BOQ!$A$5:$A$452,$A7,BOQ!$M$5:$M$452,"EARTH")</f>
        <v>0</v>
      </c>
    </row>
    <row r="8" customFormat="false" ht="15" hidden="false" customHeight="false" outlineLevel="0" collapsed="false">
      <c r="A8" s="6" t="s">
        <v>376</v>
      </c>
      <c r="B8" s="6" t="s">
        <v>377</v>
      </c>
      <c r="C8" s="7" t="n">
        <f aca="false">SUMIF(BOQ!$A$5:$A$452,A8,BOQ!$T$5:$T$452)</f>
        <v>405590.32425</v>
      </c>
      <c r="D8" s="7" t="n">
        <f aca="false">SUMIFS(BOQ!$R$5:$R$452,BOQ!$A$5:$A$452,$A8,BOQ!$M$5:$M$452,"CEM")</f>
        <v>59.089761</v>
      </c>
      <c r="E8" s="7" t="n">
        <f aca="false">SUMIFS(BOQ!$R$5:$R$452,BOQ!$A$5:$A$452,$A8,BOQ!$M$5:$M$452,"BRK")</f>
        <v>0</v>
      </c>
      <c r="F8" s="7" t="n">
        <f aca="false">SUMIFS(BOQ!$R$5:$R$452,BOQ!$A$5:$A$452,$A8,BOQ!$M$5:$M$452,"ST2")</f>
        <v>81.840304</v>
      </c>
      <c r="G8" s="7" t="n">
        <f aca="false">SUMIFS(BOQ!$R$5:$R$452,BOQ!$A$5:$A$452,$A8,BOQ!$M$5:$M$452,"ST3")</f>
        <v>0</v>
      </c>
      <c r="H8" s="7" t="n">
        <f aca="false">SUMIFS(BOQ!$R$5:$R$452,BOQ!$A$5:$A$452,$A8,BOQ!$M$5:$M$452,"ST4")</f>
        <v>509.54852</v>
      </c>
      <c r="I8" s="7" t="n">
        <f aca="false">SUMIFS(BOQ!$R$5:$R$452,BOQ!$A$5:$A$452,$A8,BOQ!$M$5:$M$452,"ST6")</f>
        <v>0</v>
      </c>
      <c r="J8" s="7" t="n">
        <f aca="false">SUMIFS(BOQ!$R$5:$R$452,BOQ!$A$5:$A$452,$A8,BOQ!$M$5:$M$452,"SNDC")</f>
        <v>114.694056</v>
      </c>
      <c r="K8" s="7" t="n">
        <f aca="false">SUMIFS(BOQ!$R$5:$R$452,BOQ!$A$5:$A$452,$A8,BOQ!$M$5:$M$452,"SNDM")</f>
        <v>60.302232</v>
      </c>
      <c r="L8" s="7" t="n">
        <f aca="false">SUMIFS(BOQ!$R$5:$R$452,BOQ!$A$5:$A$452,$A8,BOQ!$M$5:$M$452,"CRS")</f>
        <v>223.016115</v>
      </c>
      <c r="M8" s="7" t="n">
        <f aca="false">SUMIFS(BOQ!$R$5:$R$452,BOQ!$A$5:$A$452,$A8,BOQ!$M$5:$M$452,"KHG")</f>
        <v>0</v>
      </c>
      <c r="N8" s="7" t="n">
        <f aca="false">SUMIFS(BOQ!$R$5:$R$452,BOQ!$A$5:$A$452,$A8,BOQ!$M$5:$M$452,"EARTH")</f>
        <v>0</v>
      </c>
    </row>
    <row r="9" customFormat="false" ht="15" hidden="false" customHeight="false" outlineLevel="0" collapsed="false">
      <c r="A9" s="6" t="s">
        <v>396</v>
      </c>
      <c r="B9" s="6" t="s">
        <v>397</v>
      </c>
      <c r="C9" s="7" t="n">
        <f aca="false">SUMIF(BOQ!$A$5:$A$452,A9,BOQ!$T$5:$T$452)</f>
        <v>333581.36857</v>
      </c>
      <c r="D9" s="7" t="n">
        <f aca="false">SUMIFS(BOQ!$R$5:$R$452,BOQ!$A$5:$A$452,$A9,BOQ!$M$5:$M$452,"CEM")</f>
        <v>45.1243</v>
      </c>
      <c r="E9" s="7" t="n">
        <f aca="false">SUMIFS(BOQ!$R$5:$R$452,BOQ!$A$5:$A$452,$A9,BOQ!$M$5:$M$452,"BRK")</f>
        <v>0</v>
      </c>
      <c r="F9" s="7" t="n">
        <f aca="false">SUMIFS(BOQ!$R$5:$R$452,BOQ!$A$5:$A$452,$A9,BOQ!$M$5:$M$452,"ST2")</f>
        <v>0</v>
      </c>
      <c r="G9" s="7" t="n">
        <f aca="false">SUMIFS(BOQ!$R$5:$R$452,BOQ!$A$5:$A$452,$A9,BOQ!$M$5:$M$452,"ST3")</f>
        <v>0</v>
      </c>
      <c r="H9" s="7" t="n">
        <f aca="false">SUMIFS(BOQ!$R$5:$R$452,BOQ!$A$5:$A$452,$A9,BOQ!$M$5:$M$452,"ST4")</f>
        <v>0</v>
      </c>
      <c r="I9" s="7" t="n">
        <f aca="false">SUMIFS(BOQ!$R$5:$R$452,BOQ!$A$5:$A$452,$A9,BOQ!$M$5:$M$452,"ST6")</f>
        <v>0</v>
      </c>
      <c r="J9" s="7" t="n">
        <f aca="false">SUMIFS(BOQ!$R$5:$R$452,BOQ!$A$5:$A$452,$A9,BOQ!$M$5:$M$452,"SNDC")</f>
        <v>236.573784</v>
      </c>
      <c r="K9" s="7" t="n">
        <f aca="false">SUMIFS(BOQ!$R$5:$R$452,BOQ!$A$5:$A$452,$A9,BOQ!$M$5:$M$452,"SNDM")</f>
        <v>204.051204</v>
      </c>
      <c r="L9" s="7" t="n">
        <f aca="false">SUMIFS(BOQ!$R$5:$R$452,BOQ!$A$5:$A$452,$A9,BOQ!$M$5:$M$452,"CRS")</f>
        <v>460.004685</v>
      </c>
      <c r="M9" s="7" t="n">
        <f aca="false">SUMIFS(BOQ!$R$5:$R$452,BOQ!$A$5:$A$452,$A9,BOQ!$M$5:$M$452,"KHG")</f>
        <v>698.30859</v>
      </c>
      <c r="N9" s="7" t="n">
        <f aca="false">SUMIFS(BOQ!$R$5:$R$452,BOQ!$A$5:$A$452,$A9,BOQ!$M$5:$M$452,"EARTH")</f>
        <v>4184.79925</v>
      </c>
    </row>
    <row r="10" customFormat="false" ht="15" hidden="false" customHeight="false" outlineLevel="0" collapsed="false">
      <c r="A10" s="6" t="s">
        <v>445</v>
      </c>
      <c r="B10" s="6" t="s">
        <v>446</v>
      </c>
      <c r="C10" s="7" t="n">
        <f aca="false">SUMIF(BOQ!$A$5:$A$452,A10,BOQ!$T$5:$T$452)</f>
        <v>1697074.7442</v>
      </c>
      <c r="D10" s="7" t="n">
        <f aca="false">SUMIFS(BOQ!$R$5:$R$452,BOQ!$A$5:$A$452,$A10,BOQ!$M$5:$M$452,"CEM")</f>
        <v>277.271983</v>
      </c>
      <c r="E10" s="7" t="n">
        <f aca="false">SUMIFS(BOQ!$R$5:$R$452,BOQ!$A$5:$A$452,$A10,BOQ!$M$5:$M$452,"BRK")</f>
        <v>74295.25068</v>
      </c>
      <c r="F10" s="7" t="n">
        <f aca="false">SUMIFS(BOQ!$R$5:$R$452,BOQ!$A$5:$A$452,$A10,BOQ!$M$5:$M$452,"ST2")</f>
        <v>0</v>
      </c>
      <c r="G10" s="7" t="n">
        <f aca="false">SUMIFS(BOQ!$R$5:$R$452,BOQ!$A$5:$A$452,$A10,BOQ!$M$5:$M$452,"ST3")</f>
        <v>0</v>
      </c>
      <c r="H10" s="7" t="n">
        <f aca="false">SUMIFS(BOQ!$R$5:$R$452,BOQ!$A$5:$A$452,$A10,BOQ!$M$5:$M$452,"ST4")</f>
        <v>0</v>
      </c>
      <c r="I10" s="7" t="n">
        <f aca="false">SUMIFS(BOQ!$R$5:$R$452,BOQ!$A$5:$A$452,$A10,BOQ!$M$5:$M$452,"ST6")</f>
        <v>0</v>
      </c>
      <c r="J10" s="7" t="n">
        <f aca="false">SUMIFS(BOQ!$R$5:$R$452,BOQ!$A$5:$A$452,$A10,BOQ!$M$5:$M$452,"SNDC")</f>
        <v>0</v>
      </c>
      <c r="K10" s="7" t="n">
        <f aca="false">SUMIFS(BOQ!$R$5:$R$452,BOQ!$A$5:$A$452,$A10,BOQ!$M$5:$M$452,"SNDM")</f>
        <v>1895.160996</v>
      </c>
      <c r="L10" s="7" t="n">
        <f aca="false">SUMIFS(BOQ!$R$5:$R$452,BOQ!$A$5:$A$452,$A10,BOQ!$M$5:$M$452,"CRS")</f>
        <v>0</v>
      </c>
      <c r="M10" s="7" t="n">
        <f aca="false">SUMIFS(BOQ!$R$5:$R$452,BOQ!$A$5:$A$452,$A10,BOQ!$M$5:$M$452,"KHG")</f>
        <v>0</v>
      </c>
      <c r="N10" s="7" t="n">
        <f aca="false">SUMIFS(BOQ!$R$5:$R$452,BOQ!$A$5:$A$452,$A10,BOQ!$M$5:$M$452,"EARTH")</f>
        <v>0</v>
      </c>
    </row>
    <row r="11" customFormat="false" ht="15" hidden="false" customHeight="false" outlineLevel="0" collapsed="false">
      <c r="A11" s="6" t="s">
        <v>490</v>
      </c>
      <c r="B11" s="6" t="s">
        <v>491</v>
      </c>
      <c r="C11" s="7" t="n">
        <f aca="false">SUMIF(BOQ!$A$5:$A$452,A11,BOQ!$T$5:$T$452)</f>
        <v>2760483.453504</v>
      </c>
      <c r="D11" s="7" t="n">
        <f aca="false">SUMIFS(BOQ!$R$5:$R$452,BOQ!$A$5:$A$452,$A11,BOQ!$M$5:$M$452,"CEM")</f>
        <v>455.198921</v>
      </c>
      <c r="E11" s="7" t="n">
        <f aca="false">SUMIFS(BOQ!$R$5:$R$452,BOQ!$A$5:$A$452,$A11,BOQ!$M$5:$M$452,"BRK")</f>
        <v>1422.32832</v>
      </c>
      <c r="F11" s="7" t="n">
        <f aca="false">SUMIFS(BOQ!$R$5:$R$452,BOQ!$A$5:$A$452,$A11,BOQ!$M$5:$M$452,"ST2")</f>
        <v>27.969032</v>
      </c>
      <c r="G11" s="7" t="n">
        <f aca="false">SUMIFS(BOQ!$R$5:$R$452,BOQ!$A$5:$A$452,$A11,BOQ!$M$5:$M$452,"ST3")</f>
        <v>3477.488144</v>
      </c>
      <c r="H11" s="7" t="n">
        <f aca="false">SUMIFS(BOQ!$R$5:$R$452,BOQ!$A$5:$A$452,$A11,BOQ!$M$5:$M$452,"ST4")</f>
        <v>1729.953784</v>
      </c>
      <c r="I11" s="7" t="n">
        <f aca="false">SUMIFS(BOQ!$R$5:$R$452,BOQ!$A$5:$A$452,$A11,BOQ!$M$5:$M$452,"ST6")</f>
        <v>1013.576304</v>
      </c>
      <c r="J11" s="7" t="n">
        <f aca="false">SUMIFS(BOQ!$R$5:$R$452,BOQ!$A$5:$A$452,$A11,BOQ!$M$5:$M$452,"SNDC")</f>
        <v>1274.862672</v>
      </c>
      <c r="K11" s="7" t="n">
        <f aca="false">SUMIFS(BOQ!$R$5:$R$452,BOQ!$A$5:$A$452,$A11,BOQ!$M$5:$M$452,"SNDM")</f>
        <v>52.945488</v>
      </c>
      <c r="L11" s="7" t="n">
        <f aca="false">SUMIFS(BOQ!$R$5:$R$452,BOQ!$A$5:$A$452,$A11,BOQ!$M$5:$M$452,"CRS")</f>
        <v>2478.900375</v>
      </c>
      <c r="M11" s="7" t="n">
        <f aca="false">SUMIFS(BOQ!$R$5:$R$452,BOQ!$A$5:$A$452,$A11,BOQ!$M$5:$M$452,"KHG")</f>
        <v>0</v>
      </c>
      <c r="N11" s="7" t="n">
        <f aca="false">SUMIFS(BOQ!$R$5:$R$452,BOQ!$A$5:$A$452,$A11,BOQ!$M$5:$M$452,"EARTH")</f>
        <v>0</v>
      </c>
    </row>
    <row r="12" customFormat="false" ht="15" hidden="false" customHeight="false" outlineLevel="0" collapsed="false">
      <c r="A12" s="6" t="s">
        <v>636</v>
      </c>
      <c r="B12" s="6" t="s">
        <v>637</v>
      </c>
      <c r="C12" s="7" t="n">
        <f aca="false">SUMIF(BOQ!$A$5:$A$452,A12,BOQ!$T$5:$T$452)</f>
        <v>561331.2156</v>
      </c>
      <c r="D12" s="7" t="n">
        <f aca="false">SUMIFS(BOQ!$R$5:$R$452,BOQ!$A$5:$A$452,$A12,BOQ!$M$5:$M$452,"CEM")</f>
        <v>116.986576</v>
      </c>
      <c r="E12" s="7" t="n">
        <f aca="false">SUMIFS(BOQ!$R$5:$R$452,BOQ!$A$5:$A$452,$A12,BOQ!$M$5:$M$452,"BRK")</f>
        <v>0</v>
      </c>
      <c r="F12" s="7" t="n">
        <f aca="false">SUMIFS(BOQ!$R$5:$R$452,BOQ!$A$5:$A$452,$A12,BOQ!$M$5:$M$452,"ST2")</f>
        <v>0</v>
      </c>
      <c r="G12" s="7" t="n">
        <f aca="false">SUMIFS(BOQ!$R$5:$R$452,BOQ!$A$5:$A$452,$A12,BOQ!$M$5:$M$452,"ST3")</f>
        <v>0</v>
      </c>
      <c r="H12" s="7" t="n">
        <f aca="false">SUMIFS(BOQ!$R$5:$R$452,BOQ!$A$5:$A$452,$A12,BOQ!$M$5:$M$452,"ST4")</f>
        <v>0</v>
      </c>
      <c r="I12" s="7" t="n">
        <f aca="false">SUMIFS(BOQ!$R$5:$R$452,BOQ!$A$5:$A$452,$A12,BOQ!$M$5:$M$452,"ST6")</f>
        <v>0</v>
      </c>
      <c r="J12" s="7" t="n">
        <f aca="false">SUMIFS(BOQ!$R$5:$R$452,BOQ!$A$5:$A$452,$A12,BOQ!$M$5:$M$452,"SNDC")</f>
        <v>451.966608</v>
      </c>
      <c r="K12" s="7" t="n">
        <f aca="false">SUMIFS(BOQ!$R$5:$R$452,BOQ!$A$5:$A$452,$A12,BOQ!$M$5:$M$452,"SNDM")</f>
        <v>155.861388</v>
      </c>
      <c r="L12" s="7" t="n">
        <f aca="false">SUMIFS(BOQ!$R$5:$R$452,BOQ!$A$5:$A$452,$A12,BOQ!$M$5:$M$452,"CRS")</f>
        <v>0</v>
      </c>
      <c r="M12" s="7" t="n">
        <f aca="false">SUMIFS(BOQ!$R$5:$R$452,BOQ!$A$5:$A$452,$A12,BOQ!$M$5:$M$452,"KHG")</f>
        <v>0</v>
      </c>
      <c r="N12" s="7" t="n">
        <f aca="false">SUMIFS(BOQ!$R$5:$R$452,BOQ!$A$5:$A$452,$A12,BOQ!$M$5:$M$452,"EARTH")</f>
        <v>0</v>
      </c>
    </row>
    <row r="13" customFormat="false" ht="15" hidden="false" customHeight="false" outlineLevel="0" collapsed="false">
      <c r="A13" s="6" t="s">
        <v>666</v>
      </c>
      <c r="B13" s="6" t="s">
        <v>667</v>
      </c>
      <c r="C13" s="7" t="n">
        <f aca="false">SUMIF(BOQ!$A$5:$A$452,A13,BOQ!$T$5:$T$452)</f>
        <v>509522.37924</v>
      </c>
      <c r="D13" s="7" t="n">
        <f aca="false">SUMIFS(BOQ!$R$5:$R$452,BOQ!$A$5:$A$452,$A13,BOQ!$M$5:$M$452,"CEM")</f>
        <v>230.523167</v>
      </c>
      <c r="E13" s="7" t="n">
        <f aca="false">SUMIFS(BOQ!$R$5:$R$452,BOQ!$A$5:$A$452,$A13,BOQ!$M$5:$M$452,"BRK")</f>
        <v>0</v>
      </c>
      <c r="F13" s="7" t="n">
        <f aca="false">SUMIFS(BOQ!$R$5:$R$452,BOQ!$A$5:$A$452,$A13,BOQ!$M$5:$M$452,"ST2")</f>
        <v>0</v>
      </c>
      <c r="G13" s="7" t="n">
        <f aca="false">SUMIFS(BOQ!$R$5:$R$452,BOQ!$A$5:$A$452,$A13,BOQ!$M$5:$M$452,"ST3")</f>
        <v>0</v>
      </c>
      <c r="H13" s="7" t="n">
        <f aca="false">SUMIFS(BOQ!$R$5:$R$452,BOQ!$A$5:$A$452,$A13,BOQ!$M$5:$M$452,"ST4")</f>
        <v>0</v>
      </c>
      <c r="I13" s="7" t="n">
        <f aca="false">SUMIFS(BOQ!$R$5:$R$452,BOQ!$A$5:$A$452,$A13,BOQ!$M$5:$M$452,"ST6")</f>
        <v>0</v>
      </c>
      <c r="J13" s="7" t="n">
        <f aca="false">SUMIFS(BOQ!$R$5:$R$452,BOQ!$A$5:$A$452,$A13,BOQ!$M$5:$M$452,"SNDC")</f>
        <v>0</v>
      </c>
      <c r="K13" s="7" t="n">
        <f aca="false">SUMIFS(BOQ!$R$5:$R$452,BOQ!$A$5:$A$452,$A13,BOQ!$M$5:$M$452,"SNDM")</f>
        <v>1205.190468</v>
      </c>
      <c r="L13" s="7" t="n">
        <f aca="false">SUMIFS(BOQ!$R$5:$R$452,BOQ!$A$5:$A$452,$A13,BOQ!$M$5:$M$452,"CRS")</f>
        <v>0</v>
      </c>
      <c r="M13" s="7" t="n">
        <f aca="false">SUMIFS(BOQ!$R$5:$R$452,BOQ!$A$5:$A$452,$A13,BOQ!$M$5:$M$452,"KHG")</f>
        <v>0</v>
      </c>
      <c r="N13" s="7" t="n">
        <f aca="false">SUMIFS(BOQ!$R$5:$R$452,BOQ!$A$5:$A$452,$A13,BOQ!$M$5:$M$452,"EARTH")</f>
        <v>0</v>
      </c>
    </row>
    <row r="14" customFormat="false" ht="15" hidden="false" customHeight="false" outlineLevel="0" collapsed="false">
      <c r="A14" s="6" t="s">
        <v>714</v>
      </c>
      <c r="B14" s="6" t="s">
        <v>715</v>
      </c>
      <c r="C14" s="7" t="n">
        <f aca="false">SUMIF(BOQ!$A$5:$A$452,A14,BOQ!$T$5:$T$452)</f>
        <v>444965.069562</v>
      </c>
      <c r="D14" s="7" t="n">
        <f aca="false">SUMIFS(BOQ!$R$5:$R$452,BOQ!$A$5:$A$452,$A14,BOQ!$M$5:$M$452,"CEM")</f>
        <v>29.792132</v>
      </c>
      <c r="E14" s="7" t="n">
        <f aca="false">SUMIFS(BOQ!$R$5:$R$452,BOQ!$A$5:$A$452,$A14,BOQ!$M$5:$M$452,"BRK")</f>
        <v>3683.728125</v>
      </c>
      <c r="F14" s="7" t="n">
        <f aca="false">SUMIFS(BOQ!$R$5:$R$452,BOQ!$A$5:$A$452,$A14,BOQ!$M$5:$M$452,"ST2")</f>
        <v>0</v>
      </c>
      <c r="G14" s="7" t="n">
        <f aca="false">SUMIFS(BOQ!$R$5:$R$452,BOQ!$A$5:$A$452,$A14,BOQ!$M$5:$M$452,"ST3")</f>
        <v>43.456296</v>
      </c>
      <c r="H14" s="7" t="n">
        <f aca="false">SUMIFS(BOQ!$R$5:$R$452,BOQ!$A$5:$A$452,$A14,BOQ!$M$5:$M$452,"ST4")</f>
        <v>0</v>
      </c>
      <c r="I14" s="7" t="n">
        <f aca="false">SUMIFS(BOQ!$R$5:$R$452,BOQ!$A$5:$A$452,$A14,BOQ!$M$5:$M$452,"ST6")</f>
        <v>0</v>
      </c>
      <c r="J14" s="7" t="n">
        <f aca="false">SUMIFS(BOQ!$R$5:$R$452,BOQ!$A$5:$A$452,$A14,BOQ!$M$5:$M$452,"SNDC")</f>
        <v>32.105808</v>
      </c>
      <c r="K14" s="7" t="n">
        <f aca="false">SUMIFS(BOQ!$R$5:$R$452,BOQ!$A$5:$A$452,$A14,BOQ!$M$5:$M$452,"SNDM")</f>
        <v>105.747768</v>
      </c>
      <c r="L14" s="7" t="n">
        <f aca="false">SUMIFS(BOQ!$R$5:$R$452,BOQ!$A$5:$A$452,$A14,BOQ!$M$5:$M$452,"CRS")</f>
        <v>62.427855</v>
      </c>
      <c r="M14" s="7" t="n">
        <f aca="false">SUMIFS(BOQ!$R$5:$R$452,BOQ!$A$5:$A$452,$A14,BOQ!$M$5:$M$452,"KHG")</f>
        <v>0</v>
      </c>
      <c r="N14" s="7" t="n">
        <f aca="false">SUMIFS(BOQ!$R$5:$R$452,BOQ!$A$5:$A$452,$A14,BOQ!$M$5:$M$452,"EARTH")</f>
        <v>0</v>
      </c>
    </row>
    <row r="15" customFormat="false" ht="15" hidden="false" customHeight="false" outlineLevel="0" collapsed="false">
      <c r="A15" s="6" t="s">
        <v>775</v>
      </c>
      <c r="B15" s="6" t="s">
        <v>776</v>
      </c>
      <c r="C15" s="7" t="n">
        <f aca="false">SUMIF(BOQ!$A$5:$A$452,A15,BOQ!$T$5:$T$452)</f>
        <v>80399.55799</v>
      </c>
      <c r="D15" s="7" t="n">
        <f aca="false">SUMIFS(BOQ!$R$5:$R$452,BOQ!$A$5:$A$452,$A15,BOQ!$M$5:$M$452,"CEM")</f>
        <v>18.206177</v>
      </c>
      <c r="E15" s="7" t="n">
        <f aca="false">SUMIFS(BOQ!$R$5:$R$452,BOQ!$A$5:$A$452,$A15,BOQ!$M$5:$M$452,"BRK")</f>
        <v>1200.01833</v>
      </c>
      <c r="F15" s="7" t="n">
        <f aca="false">SUMIFS(BOQ!$R$5:$R$452,BOQ!$A$5:$A$452,$A15,BOQ!$M$5:$M$452,"ST2")</f>
        <v>0</v>
      </c>
      <c r="G15" s="7" t="n">
        <f aca="false">SUMIFS(BOQ!$R$5:$R$452,BOQ!$A$5:$A$452,$A15,BOQ!$M$5:$M$452,"ST3")</f>
        <v>61.45984</v>
      </c>
      <c r="H15" s="7" t="n">
        <f aca="false">SUMIFS(BOQ!$R$5:$R$452,BOQ!$A$5:$A$452,$A15,BOQ!$M$5:$M$452,"ST4")</f>
        <v>0</v>
      </c>
      <c r="I15" s="7" t="n">
        <f aca="false">SUMIFS(BOQ!$R$5:$R$452,BOQ!$A$5:$A$452,$A15,BOQ!$M$5:$M$452,"ST6")</f>
        <v>0</v>
      </c>
      <c r="J15" s="7" t="n">
        <f aca="false">SUMIFS(BOQ!$R$5:$R$452,BOQ!$A$5:$A$452,$A15,BOQ!$M$5:$M$452,"SNDC")</f>
        <v>20.643444</v>
      </c>
      <c r="K15" s="7" t="n">
        <f aca="false">SUMIFS(BOQ!$R$5:$R$452,BOQ!$A$5:$A$452,$A15,BOQ!$M$5:$M$452,"SNDM")</f>
        <v>52.16292</v>
      </c>
      <c r="L15" s="7" t="n">
        <f aca="false">SUMIFS(BOQ!$R$5:$R$452,BOQ!$A$5:$A$452,$A15,BOQ!$M$5:$M$452,"CRS")</f>
        <v>40.140135</v>
      </c>
      <c r="M15" s="7" t="n">
        <f aca="false">SUMIFS(BOQ!$R$5:$R$452,BOQ!$A$5:$A$452,$A15,BOQ!$M$5:$M$452,"KHG")</f>
        <v>0</v>
      </c>
      <c r="N15" s="7" t="n">
        <f aca="false">SUMIFS(BOQ!$R$5:$R$452,BOQ!$A$5:$A$452,$A15,BOQ!$M$5:$M$452,"EARTH")</f>
        <v>0</v>
      </c>
    </row>
    <row r="16" customFormat="false" ht="15" hidden="false" customHeight="false" outlineLevel="0" collapsed="false">
      <c r="A16" s="6" t="s">
        <v>810</v>
      </c>
      <c r="B16" s="6" t="s">
        <v>811</v>
      </c>
      <c r="C16" s="7" t="n">
        <f aca="false">SUMIF(BOQ!$A$5:$A$452,A16,BOQ!$T$5:$T$452)</f>
        <v>424094.78963</v>
      </c>
      <c r="D16" s="7" t="n">
        <f aca="false">SUMIFS(BOQ!$R$5:$R$452,BOQ!$A$5:$A$452,$A16,BOQ!$M$5:$M$452,"CEM")</f>
        <v>21.624438</v>
      </c>
      <c r="E16" s="7" t="n">
        <f aca="false">SUMIFS(BOQ!$R$5:$R$452,BOQ!$A$5:$A$452,$A16,BOQ!$M$5:$M$452,"BRK")</f>
        <v>159.46875</v>
      </c>
      <c r="F16" s="7" t="n">
        <f aca="false">SUMIFS(BOQ!$R$5:$R$452,BOQ!$A$5:$A$452,$A16,BOQ!$M$5:$M$452,"ST2")</f>
        <v>0</v>
      </c>
      <c r="G16" s="7" t="n">
        <f aca="false">SUMIFS(BOQ!$R$5:$R$452,BOQ!$A$5:$A$452,$A16,BOQ!$M$5:$M$452,"ST3")</f>
        <v>161.27644</v>
      </c>
      <c r="H16" s="7" t="n">
        <f aca="false">SUMIFS(BOQ!$R$5:$R$452,BOQ!$A$5:$A$452,$A16,BOQ!$M$5:$M$452,"ST4")</f>
        <v>0</v>
      </c>
      <c r="I16" s="7" t="n">
        <f aca="false">SUMIFS(BOQ!$R$5:$R$452,BOQ!$A$5:$A$452,$A16,BOQ!$M$5:$M$452,"ST6")</f>
        <v>0</v>
      </c>
      <c r="J16" s="7" t="n">
        <f aca="false">SUMIFS(BOQ!$R$5:$R$452,BOQ!$A$5:$A$452,$A16,BOQ!$M$5:$M$452,"SNDC")</f>
        <v>43.96572</v>
      </c>
      <c r="K16" s="7" t="n">
        <f aca="false">SUMIFS(BOQ!$R$5:$R$452,BOQ!$A$5:$A$452,$A16,BOQ!$M$5:$M$452,"SNDM")</f>
        <v>6.867828</v>
      </c>
      <c r="L16" s="7" t="n">
        <f aca="false">SUMIFS(BOQ!$R$5:$R$452,BOQ!$A$5:$A$452,$A16,BOQ!$M$5:$M$452,"CRS")</f>
        <v>85.48869</v>
      </c>
      <c r="M16" s="7" t="n">
        <f aca="false">SUMIFS(BOQ!$R$5:$R$452,BOQ!$A$5:$A$452,$A16,BOQ!$M$5:$M$452,"KHG")</f>
        <v>0</v>
      </c>
      <c r="N16" s="7" t="n">
        <f aca="false">SUMIFS(BOQ!$R$5:$R$452,BOQ!$A$5:$A$452,$A16,BOQ!$M$5:$M$452,"EARTH")</f>
        <v>0</v>
      </c>
    </row>
    <row r="17" customFormat="false" ht="15" hidden="false" customHeight="false" outlineLevel="0" collapsed="false">
      <c r="A17" s="6" t="s">
        <v>880</v>
      </c>
      <c r="B17" s="6" t="s">
        <v>881</v>
      </c>
      <c r="C17" s="7" t="n">
        <f aca="false">SUMIF(BOQ!$A$5:$A$452,A17,BOQ!$T$5:$T$452)</f>
        <v>356659.856058</v>
      </c>
      <c r="D17" s="7" t="n">
        <f aca="false">SUMIFS(BOQ!$R$5:$R$452,BOQ!$A$5:$A$452,$A17,BOQ!$M$5:$M$452,"CEM")</f>
        <v>10.233874</v>
      </c>
      <c r="E17" s="7" t="n">
        <f aca="false">SUMIFS(BOQ!$R$5:$R$452,BOQ!$A$5:$A$452,$A17,BOQ!$M$5:$M$452,"BRK")</f>
        <v>0</v>
      </c>
      <c r="F17" s="7" t="n">
        <f aca="false">SUMIFS(BOQ!$R$5:$R$452,BOQ!$A$5:$A$452,$A17,BOQ!$M$5:$M$452,"ST2")</f>
        <v>24.10668</v>
      </c>
      <c r="G17" s="7" t="n">
        <f aca="false">SUMIFS(BOQ!$R$5:$R$452,BOQ!$A$5:$A$452,$A17,BOQ!$M$5:$M$452,"ST3")</f>
        <v>42.214744</v>
      </c>
      <c r="H17" s="7" t="n">
        <f aca="false">SUMIFS(BOQ!$R$5:$R$452,BOQ!$A$5:$A$452,$A17,BOQ!$M$5:$M$452,"ST4")</f>
        <v>0</v>
      </c>
      <c r="I17" s="7" t="n">
        <f aca="false">SUMIFS(BOQ!$R$5:$R$452,BOQ!$A$5:$A$452,$A17,BOQ!$M$5:$M$452,"ST6")</f>
        <v>0</v>
      </c>
      <c r="J17" s="7" t="n">
        <f aca="false">SUMIFS(BOQ!$R$5:$R$452,BOQ!$A$5:$A$452,$A17,BOQ!$M$5:$M$452,"SNDC")</f>
        <v>26.826876</v>
      </c>
      <c r="K17" s="7" t="n">
        <f aca="false">SUMIFS(BOQ!$R$5:$R$452,BOQ!$A$5:$A$452,$A17,BOQ!$M$5:$M$452,"SNDM")</f>
        <v>0</v>
      </c>
      <c r="L17" s="7" t="n">
        <f aca="false">SUMIFS(BOQ!$R$5:$R$452,BOQ!$A$5:$A$452,$A17,BOQ!$M$5:$M$452,"CRS")</f>
        <v>52.163265</v>
      </c>
      <c r="M17" s="7" t="n">
        <f aca="false">SUMIFS(BOQ!$R$5:$R$452,BOQ!$A$5:$A$452,$A17,BOQ!$M$5:$M$452,"KHG")</f>
        <v>0</v>
      </c>
      <c r="N17" s="7" t="n">
        <f aca="false">SUMIFS(BOQ!$R$5:$R$452,BOQ!$A$5:$A$452,$A17,BOQ!$M$5:$M$452,"EARTH")</f>
        <v>0</v>
      </c>
    </row>
    <row r="18" customFormat="false" ht="15" hidden="false" customHeight="false" outlineLevel="0" collapsed="false">
      <c r="A18" s="6" t="s">
        <v>953</v>
      </c>
      <c r="B18" s="6" t="s">
        <v>954</v>
      </c>
      <c r="C18" s="7" t="n">
        <f aca="false">SUMIF(BOQ!$A$5:$A$452,A18,BOQ!$T$5:$T$452)</f>
        <v>576794.49508</v>
      </c>
      <c r="D18" s="7" t="n">
        <f aca="false">SUMIFS(BOQ!$R$5:$R$452,BOQ!$A$5:$A$452,$A18,BOQ!$M$5:$M$452,"CEM")</f>
        <v>121.85312</v>
      </c>
      <c r="E18" s="7" t="n">
        <f aca="false">SUMIFS(BOQ!$R$5:$R$452,BOQ!$A$5:$A$452,$A18,BOQ!$M$5:$M$452,"BRK")</f>
        <v>17220.18312</v>
      </c>
      <c r="F18" s="7" t="n">
        <f aca="false">SUMIFS(BOQ!$R$5:$R$452,BOQ!$A$5:$A$452,$A18,BOQ!$M$5:$M$452,"ST2")</f>
        <v>27.4196</v>
      </c>
      <c r="G18" s="7" t="n">
        <f aca="false">SUMIFS(BOQ!$R$5:$R$452,BOQ!$A$5:$A$452,$A18,BOQ!$M$5:$M$452,"ST3")</f>
        <v>151.15724</v>
      </c>
      <c r="H18" s="7" t="n">
        <f aca="false">SUMIFS(BOQ!$R$5:$R$452,BOQ!$A$5:$A$452,$A18,BOQ!$M$5:$M$452,"ST4")</f>
        <v>0</v>
      </c>
      <c r="I18" s="7" t="n">
        <f aca="false">SUMIFS(BOQ!$R$5:$R$452,BOQ!$A$5:$A$452,$A18,BOQ!$M$5:$M$452,"ST6")</f>
        <v>0</v>
      </c>
      <c r="J18" s="7" t="n">
        <f aca="false">SUMIFS(BOQ!$R$5:$R$452,BOQ!$A$5:$A$452,$A18,BOQ!$M$5:$M$452,"SNDC")</f>
        <v>91.368108</v>
      </c>
      <c r="K18" s="7" t="n">
        <f aca="false">SUMIFS(BOQ!$R$5:$R$452,BOQ!$A$5:$A$452,$A18,BOQ!$M$5:$M$452,"SNDM")</f>
        <v>633.552624</v>
      </c>
      <c r="L18" s="7" t="n">
        <f aca="false">SUMIFS(BOQ!$R$5:$R$452,BOQ!$A$5:$A$452,$A18,BOQ!$M$5:$M$452,"CRS")</f>
        <v>177.66021</v>
      </c>
      <c r="M18" s="7" t="n">
        <f aca="false">SUMIFS(BOQ!$R$5:$R$452,BOQ!$A$5:$A$452,$A18,BOQ!$M$5:$M$452,"KHG")</f>
        <v>0</v>
      </c>
      <c r="N18" s="7" t="n">
        <f aca="false">SUMIFS(BOQ!$R$5:$R$452,BOQ!$A$5:$A$452,$A18,BOQ!$M$5:$M$452,"EARTH")</f>
        <v>0</v>
      </c>
    </row>
    <row r="19" customFormat="false" ht="15" hidden="false" customHeight="false" outlineLevel="0" collapsed="false">
      <c r="A19" s="6" t="s">
        <v>999</v>
      </c>
      <c r="B19" s="6" t="s">
        <v>1000</v>
      </c>
      <c r="C19" s="7" t="n">
        <f aca="false">SUMIF(BOQ!$A$5:$A$452,A19,BOQ!$T$5:$T$452)</f>
        <v>57541.00206</v>
      </c>
      <c r="D19" s="7" t="n">
        <f aca="false">SUMIFS(BOQ!$R$5:$R$452,BOQ!$A$5:$A$452,$A19,BOQ!$M$5:$M$452,"CEM")</f>
        <v>15.812457</v>
      </c>
      <c r="E19" s="7" t="n">
        <f aca="false">SUMIFS(BOQ!$R$5:$R$452,BOQ!$A$5:$A$452,$A19,BOQ!$M$5:$M$452,"BRK")</f>
        <v>567</v>
      </c>
      <c r="F19" s="7" t="n">
        <f aca="false">SUMIFS(BOQ!$R$5:$R$452,BOQ!$A$5:$A$452,$A19,BOQ!$M$5:$M$452,"ST2")</f>
        <v>0</v>
      </c>
      <c r="G19" s="7" t="n">
        <f aca="false">SUMIFS(BOQ!$R$5:$R$452,BOQ!$A$5:$A$452,$A19,BOQ!$M$5:$M$452,"ST3")</f>
        <v>0</v>
      </c>
      <c r="H19" s="7" t="n">
        <f aca="false">SUMIFS(BOQ!$R$5:$R$452,BOQ!$A$5:$A$452,$A19,BOQ!$M$5:$M$452,"ST4")</f>
        <v>0</v>
      </c>
      <c r="I19" s="7" t="n">
        <f aca="false">SUMIFS(BOQ!$R$5:$R$452,BOQ!$A$5:$A$452,$A19,BOQ!$M$5:$M$452,"ST6")</f>
        <v>0</v>
      </c>
      <c r="J19" s="7" t="n">
        <f aca="false">SUMIFS(BOQ!$R$5:$R$452,BOQ!$A$5:$A$452,$A19,BOQ!$M$5:$M$452,"SNDC")</f>
        <v>83.270484</v>
      </c>
      <c r="K19" s="7" t="n">
        <f aca="false">SUMIFS(BOQ!$R$5:$R$452,BOQ!$A$5:$A$452,$A19,BOQ!$M$5:$M$452,"SNDM")</f>
        <v>91.265832</v>
      </c>
      <c r="L19" s="7" t="n">
        <f aca="false">SUMIFS(BOQ!$R$5:$R$452,BOQ!$A$5:$A$452,$A19,BOQ!$M$5:$M$452,"CRS")</f>
        <v>133.98504</v>
      </c>
      <c r="M19" s="7" t="n">
        <f aca="false">SUMIFS(BOQ!$R$5:$R$452,BOQ!$A$5:$A$452,$A19,BOQ!$M$5:$M$452,"KHG")</f>
        <v>0</v>
      </c>
      <c r="N19" s="7" t="n">
        <f aca="false">SUMIFS(BOQ!$R$5:$R$452,BOQ!$A$5:$A$452,$A19,BOQ!$M$5:$M$452,"EARTH")</f>
        <v>0</v>
      </c>
    </row>
    <row r="20" customFormat="false" ht="15" hidden="false" customHeight="false" outlineLevel="0" collapsed="false">
      <c r="B20" s="2" t="s">
        <v>1064</v>
      </c>
      <c r="C20" s="22" t="n">
        <f aca="false">Totals!F11*Totals!K11</f>
        <v>29454.396192</v>
      </c>
    </row>
    <row r="21" customFormat="false" ht="15" hidden="false" customHeight="false" outlineLevel="0" collapsed="false">
      <c r="A21" s="23"/>
      <c r="B21" s="23" t="s">
        <v>1065</v>
      </c>
      <c r="C21" s="4" t="n">
        <f aca="false">SUM(C4:C20)</f>
        <v>9132443.578296</v>
      </c>
      <c r="D21" s="4" t="n">
        <f aca="false">SUM(D4:D19)</f>
        <v>1543.851962</v>
      </c>
      <c r="E21" s="4" t="n">
        <f aca="false">SUM(E4:E19)</f>
        <v>132862.284135</v>
      </c>
      <c r="F21" s="4" t="n">
        <f aca="false">SUM(F4:F19)</f>
        <v>161.335616</v>
      </c>
      <c r="G21" s="4" t="n">
        <f aca="false">SUM(G4:G19)</f>
        <v>3937.052704</v>
      </c>
      <c r="H21" s="4" t="n">
        <f aca="false">SUM(H4:H19)</f>
        <v>2251.634424</v>
      </c>
      <c r="I21" s="4" t="n">
        <f aca="false">SUM(I4:I19)</f>
        <v>1013.576304</v>
      </c>
      <c r="J21" s="4" t="n">
        <f aca="false">SUM(J4:J19)</f>
        <v>2519.064144</v>
      </c>
      <c r="K21" s="4" t="n">
        <f aca="false">SUM(K4:K19)</f>
        <v>5357.241504</v>
      </c>
      <c r="L21" s="4" t="n">
        <f aca="false">SUM(L4:L19)</f>
        <v>3991.42716</v>
      </c>
      <c r="M21" s="4" t="n">
        <f aca="false">SUM(M4:M19)</f>
        <v>698.30859</v>
      </c>
      <c r="N21" s="4" t="n">
        <f aca="false">SUM(N4:N19)</f>
        <v>4184.79925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1" t="s">
        <v>1066</v>
      </c>
    </row>
    <row r="3" customFormat="false" ht="15" hidden="false" customHeight="false" outlineLevel="0" collapsed="false">
      <c r="A3" s="8" t="s">
        <v>272</v>
      </c>
      <c r="B3" s="8" t="s">
        <v>1067</v>
      </c>
      <c r="C3" s="8" t="s">
        <v>1068</v>
      </c>
      <c r="D3" s="8" t="s">
        <v>1069</v>
      </c>
      <c r="E3" s="8" t="s">
        <v>1070</v>
      </c>
      <c r="F3" s="8" t="s">
        <v>1071</v>
      </c>
    </row>
    <row r="4" customFormat="false" ht="15" hidden="false" customHeight="false" outlineLevel="0" collapsed="false">
      <c r="A4" s="6" t="s">
        <v>356</v>
      </c>
      <c r="B4" s="12" t="n">
        <f aca="false">SUMIFS(BOQ!$O$5:$O$452,BOQ!$K$5:$K$452,$A4,BOQ!$M$5:$M$452,"ST2")</f>
        <v>0</v>
      </c>
      <c r="C4" s="12" t="n">
        <f aca="false">SUMIFS(BOQ!$O$5:$O$452,BOQ!$K$5:$K$452,$A4,BOQ!$M$5:$M$452,"ST3")</f>
        <v>0</v>
      </c>
      <c r="D4" s="12" t="n">
        <f aca="false">SUMIFS(BOQ!$O$5:$O$452,BOQ!$K$5:$K$452,$A4,BOQ!$M$5:$M$452,"ST4")</f>
        <v>11.6655</v>
      </c>
      <c r="E4" s="12" t="n">
        <f aca="false">SUMIFS(BOQ!$O$5:$O$452,BOQ!$K$5:$K$452,$A4,BOQ!$M$5:$M$452,"ST6")</f>
        <v>0</v>
      </c>
      <c r="F4" s="12" t="n">
        <f aca="false">SUM(B4:E4)</f>
        <v>11.6655</v>
      </c>
    </row>
    <row r="5" customFormat="false" ht="15" hidden="false" customHeight="false" outlineLevel="0" collapsed="false">
      <c r="A5" s="6" t="s">
        <v>383</v>
      </c>
      <c r="B5" s="12" t="n">
        <f aca="false">SUMIFS(BOQ!$O$5:$O$452,BOQ!$K$5:$K$452,$A5,BOQ!$M$5:$M$452,"ST2")</f>
        <v>78.6926</v>
      </c>
      <c r="C5" s="12" t="n">
        <f aca="false">SUMIFS(BOQ!$O$5:$O$452,BOQ!$K$5:$K$452,$A5,BOQ!$M$5:$M$452,"ST3")</f>
        <v>0</v>
      </c>
      <c r="D5" s="12" t="n">
        <f aca="false">SUMIFS(BOQ!$O$5:$O$452,BOQ!$K$5:$K$452,$A5,BOQ!$M$5:$M$452,"ST4")</f>
        <v>489.9505</v>
      </c>
      <c r="E5" s="12" t="n">
        <f aca="false">SUMIFS(BOQ!$O$5:$O$452,BOQ!$K$5:$K$452,$A5,BOQ!$M$5:$M$452,"ST6")</f>
        <v>0</v>
      </c>
      <c r="F5" s="12" t="n">
        <f aca="false">SUM(B5:E5)</f>
        <v>568.6431</v>
      </c>
    </row>
    <row r="6" customFormat="false" ht="15" hidden="false" customHeight="false" outlineLevel="0" collapsed="false">
      <c r="A6" s="6" t="s">
        <v>497</v>
      </c>
      <c r="B6" s="12" t="n">
        <f aca="false">SUMIFS(BOQ!$O$5:$O$452,BOQ!$K$5:$K$452,$A6,BOQ!$M$5:$M$452,"ST2")</f>
        <v>0</v>
      </c>
      <c r="C6" s="12" t="n">
        <f aca="false">SUMIFS(BOQ!$O$5:$O$452,BOQ!$K$5:$K$452,$A6,BOQ!$M$5:$M$452,"ST3")</f>
        <v>23.1949</v>
      </c>
      <c r="D6" s="12" t="n">
        <f aca="false">SUMIFS(BOQ!$O$5:$O$452,BOQ!$K$5:$K$452,$A6,BOQ!$M$5:$M$452,"ST4")</f>
        <v>0</v>
      </c>
      <c r="E6" s="12" t="n">
        <f aca="false">SUMIFS(BOQ!$O$5:$O$452,BOQ!$K$5:$K$452,$A6,BOQ!$M$5:$M$452,"ST6")</f>
        <v>51.7785</v>
      </c>
      <c r="F6" s="12" t="n">
        <f aca="false">SUM(B6:E6)</f>
        <v>74.9734</v>
      </c>
    </row>
    <row r="7" customFormat="false" ht="15" hidden="false" customHeight="false" outlineLevel="0" collapsed="false">
      <c r="A7" s="6" t="s">
        <v>504</v>
      </c>
      <c r="B7" s="12" t="n">
        <f aca="false">SUMIFS(BOQ!$O$5:$O$452,BOQ!$K$5:$K$452,$A7,BOQ!$M$5:$M$452,"ST2")</f>
        <v>0</v>
      </c>
      <c r="C7" s="12" t="n">
        <f aca="false">SUMIFS(BOQ!$O$5:$O$452,BOQ!$K$5:$K$452,$A7,BOQ!$M$5:$M$452,"ST3")</f>
        <v>2506.1395</v>
      </c>
      <c r="D7" s="12" t="n">
        <f aca="false">SUMIFS(BOQ!$O$5:$O$452,BOQ!$K$5:$K$452,$A7,BOQ!$M$5:$M$452,"ST4")</f>
        <v>580.0838</v>
      </c>
      <c r="E7" s="12" t="n">
        <f aca="false">SUMIFS(BOQ!$O$5:$O$452,BOQ!$K$5:$K$452,$A7,BOQ!$M$5:$M$452,"ST6")</f>
        <v>55.035</v>
      </c>
      <c r="F7" s="12" t="n">
        <f aca="false">SUM(B7:E7)</f>
        <v>3141.2583</v>
      </c>
    </row>
    <row r="8" customFormat="false" ht="15" hidden="false" customHeight="false" outlineLevel="0" collapsed="false">
      <c r="A8" s="6" t="s">
        <v>518</v>
      </c>
      <c r="B8" s="12" t="n">
        <f aca="false">SUMIFS(BOQ!$O$5:$O$452,BOQ!$K$5:$K$452,$A8,BOQ!$M$5:$M$452,"ST2")</f>
        <v>0</v>
      </c>
      <c r="C8" s="12" t="n">
        <f aca="false">SUMIFS(BOQ!$O$5:$O$452,BOQ!$K$5:$K$452,$A8,BOQ!$M$5:$M$452,"ST3")</f>
        <v>268.0715</v>
      </c>
      <c r="D8" s="12" t="n">
        <f aca="false">SUMIFS(BOQ!$O$5:$O$452,BOQ!$K$5:$K$452,$A8,BOQ!$M$5:$M$452,"ST4")</f>
        <v>107.8769</v>
      </c>
      <c r="E8" s="12" t="n">
        <f aca="false">SUMIFS(BOQ!$O$5:$O$452,BOQ!$K$5:$K$452,$A8,BOQ!$M$5:$M$452,"ST6")</f>
        <v>867.7791</v>
      </c>
      <c r="F8" s="12" t="n">
        <f aca="false">SUM(B8:E8)</f>
        <v>1243.7275</v>
      </c>
    </row>
    <row r="9" customFormat="false" ht="15" hidden="false" customHeight="false" outlineLevel="0" collapsed="false">
      <c r="A9" s="6" t="s">
        <v>540</v>
      </c>
      <c r="B9" s="12" t="n">
        <f aca="false">SUMIFS(BOQ!$O$5:$O$452,BOQ!$K$5:$K$452,$A9,BOQ!$M$5:$M$452,"ST2")</f>
        <v>26.8933</v>
      </c>
      <c r="C9" s="12" t="n">
        <f aca="false">SUMIFS(BOQ!$O$5:$O$452,BOQ!$K$5:$K$452,$A9,BOQ!$M$5:$M$452,"ST3")</f>
        <v>204.2227</v>
      </c>
      <c r="D9" s="12" t="n">
        <f aca="false">SUMIFS(BOQ!$O$5:$O$452,BOQ!$K$5:$K$452,$A9,BOQ!$M$5:$M$452,"ST4")</f>
        <v>393.0028</v>
      </c>
      <c r="E9" s="12" t="n">
        <f aca="false">SUMIFS(BOQ!$O$5:$O$452,BOQ!$K$5:$K$452,$A9,BOQ!$M$5:$M$452,"ST6")</f>
        <v>0</v>
      </c>
      <c r="F9" s="12" t="n">
        <f aca="false">SUM(B9:E9)</f>
        <v>624.1188</v>
      </c>
    </row>
    <row r="10" customFormat="false" ht="15" hidden="false" customHeight="false" outlineLevel="0" collapsed="false">
      <c r="A10" s="6" t="s">
        <v>553</v>
      </c>
      <c r="B10" s="12" t="n">
        <f aca="false">SUMIFS(BOQ!$O$5:$O$452,BOQ!$K$5:$K$452,$A10,BOQ!$M$5:$M$452,"ST2")</f>
        <v>0</v>
      </c>
      <c r="C10" s="12" t="n">
        <f aca="false">SUMIFS(BOQ!$O$5:$O$452,BOQ!$K$5:$K$452,$A10,BOQ!$M$5:$M$452,"ST3")</f>
        <v>0</v>
      </c>
      <c r="D10" s="12" t="n">
        <f aca="false">SUMIFS(BOQ!$O$5:$O$452,BOQ!$K$5:$K$452,$A10,BOQ!$M$5:$M$452,"ST4")</f>
        <v>57.4942</v>
      </c>
      <c r="E10" s="12" t="n">
        <f aca="false">SUMIFS(BOQ!$O$5:$O$452,BOQ!$K$5:$K$452,$A10,BOQ!$M$5:$M$452,"ST6")</f>
        <v>0</v>
      </c>
      <c r="F10" s="12" t="n">
        <f aca="false">SUM(B10:E10)</f>
        <v>57.4942</v>
      </c>
    </row>
    <row r="11" customFormat="false" ht="15" hidden="false" customHeight="false" outlineLevel="0" collapsed="false">
      <c r="A11" s="6" t="s">
        <v>566</v>
      </c>
      <c r="B11" s="12" t="n">
        <f aca="false">SUMIFS(BOQ!$O$5:$O$452,BOQ!$K$5:$K$452,$A11,BOQ!$M$5:$M$452,"ST2")</f>
        <v>0</v>
      </c>
      <c r="C11" s="12" t="n">
        <f aca="false">SUMIFS(BOQ!$O$5:$O$452,BOQ!$K$5:$K$452,$A11,BOQ!$M$5:$M$452,"ST3")</f>
        <v>96.7876</v>
      </c>
      <c r="D11" s="12" t="n">
        <f aca="false">SUMIFS(BOQ!$O$5:$O$452,BOQ!$K$5:$K$452,$A11,BOQ!$M$5:$M$452,"ST4")</f>
        <v>524.9594</v>
      </c>
      <c r="E11" s="12" t="n">
        <f aca="false">SUMIFS(BOQ!$O$5:$O$452,BOQ!$K$5:$K$452,$A11,BOQ!$M$5:$M$452,"ST6")</f>
        <v>0</v>
      </c>
      <c r="F11" s="12" t="n">
        <f aca="false">SUM(B11:E11)</f>
        <v>621.747</v>
      </c>
    </row>
    <row r="12" customFormat="false" ht="15" hidden="false" customHeight="false" outlineLevel="0" collapsed="false">
      <c r="A12" s="6" t="s">
        <v>582</v>
      </c>
      <c r="B12" s="12" t="n">
        <f aca="false">SUMIFS(BOQ!$O$5:$O$452,BOQ!$K$5:$K$452,$A12,BOQ!$M$5:$M$452,"ST2")</f>
        <v>0</v>
      </c>
      <c r="C12" s="12" t="n">
        <f aca="false">SUMIFS(BOQ!$O$5:$O$452,BOQ!$K$5:$K$452,$A12,BOQ!$M$5:$M$452,"ST3")</f>
        <v>39.8236</v>
      </c>
      <c r="D12" s="12" t="n">
        <f aca="false">SUMIFS(BOQ!$O$5:$O$452,BOQ!$K$5:$K$452,$A12,BOQ!$M$5:$M$452,"ST4")</f>
        <v>0</v>
      </c>
      <c r="E12" s="12" t="n">
        <f aca="false">SUMIFS(BOQ!$O$5:$O$452,BOQ!$K$5:$K$452,$A12,BOQ!$M$5:$M$452,"ST6")</f>
        <v>0</v>
      </c>
      <c r="F12" s="12" t="n">
        <f aca="false">SUM(B12:E12)</f>
        <v>39.8236</v>
      </c>
    </row>
    <row r="13" customFormat="false" ht="15" hidden="false" customHeight="false" outlineLevel="0" collapsed="false">
      <c r="A13" s="6" t="s">
        <v>595</v>
      </c>
      <c r="B13" s="12" t="n">
        <f aca="false">SUMIFS(BOQ!$O$5:$O$452,BOQ!$K$5:$K$452,$A13,BOQ!$M$5:$M$452,"ST2")</f>
        <v>0</v>
      </c>
      <c r="C13" s="12" t="n">
        <f aca="false">SUMIFS(BOQ!$O$5:$O$452,BOQ!$K$5:$K$452,$A13,BOQ!$M$5:$M$452,"ST3")</f>
        <v>25.5826</v>
      </c>
      <c r="D13" s="12" t="n">
        <f aca="false">SUMIFS(BOQ!$O$5:$O$452,BOQ!$K$5:$K$452,$A13,BOQ!$M$5:$M$452,"ST4")</f>
        <v>0</v>
      </c>
      <c r="E13" s="12" t="n">
        <f aca="false">SUMIFS(BOQ!$O$5:$O$452,BOQ!$K$5:$K$452,$A13,BOQ!$M$5:$M$452,"ST6")</f>
        <v>0</v>
      </c>
      <c r="F13" s="12" t="n">
        <f aca="false">SUM(B13:E13)</f>
        <v>25.5826</v>
      </c>
    </row>
    <row r="14" customFormat="false" ht="15" hidden="false" customHeight="false" outlineLevel="0" collapsed="false">
      <c r="A14" s="6" t="s">
        <v>601</v>
      </c>
      <c r="B14" s="12" t="n">
        <f aca="false">SUMIFS(BOQ!$O$5:$O$452,BOQ!$K$5:$K$452,$A14,BOQ!$M$5:$M$452,"ST2")</f>
        <v>0</v>
      </c>
      <c r="C14" s="12" t="n">
        <f aca="false">SUMIFS(BOQ!$O$5:$O$452,BOQ!$K$5:$K$452,$A14,BOQ!$M$5:$M$452,"ST3")</f>
        <v>78.7228</v>
      </c>
      <c r="D14" s="12" t="n">
        <f aca="false">SUMIFS(BOQ!$O$5:$O$452,BOQ!$K$5:$K$452,$A14,BOQ!$M$5:$M$452,"ST4")</f>
        <v>0</v>
      </c>
      <c r="E14" s="12" t="n">
        <f aca="false">SUMIFS(BOQ!$O$5:$O$452,BOQ!$K$5:$K$452,$A14,BOQ!$M$5:$M$452,"ST6")</f>
        <v>0</v>
      </c>
      <c r="F14" s="12" t="n">
        <f aca="false">SUM(B14:E14)</f>
        <v>78.7228</v>
      </c>
    </row>
    <row r="15" customFormat="false" ht="15" hidden="false" customHeight="false" outlineLevel="0" collapsed="false">
      <c r="A15" s="6" t="s">
        <v>621</v>
      </c>
      <c r="B15" s="12" t="n">
        <f aca="false">SUMIFS(BOQ!$O$5:$O$452,BOQ!$K$5:$K$452,$A15,BOQ!$M$5:$M$452,"ST2")</f>
        <v>0</v>
      </c>
      <c r="C15" s="12" t="n">
        <f aca="false">SUMIFS(BOQ!$O$5:$O$452,BOQ!$K$5:$K$452,$A15,BOQ!$M$5:$M$452,"ST3")</f>
        <v>101.1934</v>
      </c>
      <c r="D15" s="12" t="n">
        <f aca="false">SUMIFS(BOQ!$O$5:$O$452,BOQ!$K$5:$K$452,$A15,BOQ!$M$5:$M$452,"ST4")</f>
        <v>0</v>
      </c>
      <c r="E15" s="12" t="n">
        <f aca="false">SUMIFS(BOQ!$O$5:$O$452,BOQ!$K$5:$K$452,$A15,BOQ!$M$5:$M$452,"ST6")</f>
        <v>0</v>
      </c>
      <c r="F15" s="12" t="n">
        <f aca="false">SUM(B15:E15)</f>
        <v>101.1934</v>
      </c>
    </row>
    <row r="16" customFormat="false" ht="15" hidden="false" customHeight="false" outlineLevel="0" collapsed="false">
      <c r="A16" s="6" t="s">
        <v>747</v>
      </c>
      <c r="B16" s="12" t="n">
        <f aca="false">SUMIFS(BOQ!$O$5:$O$452,BOQ!$K$5:$K$452,$A16,BOQ!$M$5:$M$452,"ST2")</f>
        <v>0</v>
      </c>
      <c r="C16" s="12" t="n">
        <f aca="false">SUMIFS(BOQ!$O$5:$O$452,BOQ!$K$5:$K$452,$A16,BOQ!$M$5:$M$452,"ST3")</f>
        <v>41.7849</v>
      </c>
      <c r="D16" s="12" t="n">
        <f aca="false">SUMIFS(BOQ!$O$5:$O$452,BOQ!$K$5:$K$452,$A16,BOQ!$M$5:$M$452,"ST4")</f>
        <v>0</v>
      </c>
      <c r="E16" s="12" t="n">
        <f aca="false">SUMIFS(BOQ!$O$5:$O$452,BOQ!$K$5:$K$452,$A16,BOQ!$M$5:$M$452,"ST6")</f>
        <v>0</v>
      </c>
      <c r="F16" s="12" t="n">
        <f aca="false">SUM(B16:E16)</f>
        <v>41.7849</v>
      </c>
    </row>
    <row r="17" customFormat="false" ht="15" hidden="false" customHeight="false" outlineLevel="0" collapsed="false">
      <c r="A17" s="6" t="s">
        <v>776</v>
      </c>
      <c r="B17" s="12" t="n">
        <f aca="false">SUMIFS(BOQ!$O$5:$O$452,BOQ!$K$5:$K$452,$A17,BOQ!$M$5:$M$452,"ST2")</f>
        <v>0</v>
      </c>
      <c r="C17" s="12" t="n">
        <f aca="false">SUMIFS(BOQ!$O$5:$O$452,BOQ!$K$5:$K$452,$A17,BOQ!$M$5:$M$452,"ST3")</f>
        <v>59.096</v>
      </c>
      <c r="D17" s="12" t="n">
        <f aca="false">SUMIFS(BOQ!$O$5:$O$452,BOQ!$K$5:$K$452,$A17,BOQ!$M$5:$M$452,"ST4")</f>
        <v>0</v>
      </c>
      <c r="E17" s="12" t="n">
        <f aca="false">SUMIFS(BOQ!$O$5:$O$452,BOQ!$K$5:$K$452,$A17,BOQ!$M$5:$M$452,"ST6")</f>
        <v>0</v>
      </c>
      <c r="F17" s="12" t="n">
        <f aca="false">SUM(B17:E17)</f>
        <v>59.096</v>
      </c>
    </row>
    <row r="18" customFormat="false" ht="15" hidden="false" customHeight="false" outlineLevel="0" collapsed="false">
      <c r="A18" s="6" t="s">
        <v>824</v>
      </c>
      <c r="B18" s="12" t="n">
        <f aca="false">SUMIFS(BOQ!$O$5:$O$452,BOQ!$K$5:$K$452,$A18,BOQ!$M$5:$M$452,"ST2")</f>
        <v>0</v>
      </c>
      <c r="C18" s="12" t="n">
        <f aca="false">SUMIFS(BOQ!$O$5:$O$452,BOQ!$K$5:$K$452,$A18,BOQ!$M$5:$M$452,"ST3")</f>
        <v>134.6074</v>
      </c>
      <c r="D18" s="12" t="n">
        <f aca="false">SUMIFS(BOQ!$O$5:$O$452,BOQ!$K$5:$K$452,$A18,BOQ!$M$5:$M$452,"ST4")</f>
        <v>0</v>
      </c>
      <c r="E18" s="12" t="n">
        <f aca="false">SUMIFS(BOQ!$O$5:$O$452,BOQ!$K$5:$K$452,$A18,BOQ!$M$5:$M$452,"ST6")</f>
        <v>0</v>
      </c>
      <c r="F18" s="12" t="n">
        <f aca="false">SUM(B18:E18)</f>
        <v>134.6074</v>
      </c>
    </row>
    <row r="19" customFormat="false" ht="15" hidden="false" customHeight="false" outlineLevel="0" collapsed="false">
      <c r="A19" s="6" t="s">
        <v>852</v>
      </c>
      <c r="B19" s="12" t="n">
        <f aca="false">SUMIFS(BOQ!$O$5:$O$452,BOQ!$K$5:$K$452,$A19,BOQ!$M$5:$M$452,"ST2")</f>
        <v>0</v>
      </c>
      <c r="C19" s="12" t="n">
        <f aca="false">SUMIFS(BOQ!$O$5:$O$452,BOQ!$K$5:$K$452,$A19,BOQ!$M$5:$M$452,"ST3")</f>
        <v>20.4661</v>
      </c>
      <c r="D19" s="12" t="n">
        <f aca="false">SUMIFS(BOQ!$O$5:$O$452,BOQ!$K$5:$K$452,$A19,BOQ!$M$5:$M$452,"ST4")</f>
        <v>0</v>
      </c>
      <c r="E19" s="12" t="n">
        <f aca="false">SUMIFS(BOQ!$O$5:$O$452,BOQ!$K$5:$K$452,$A19,BOQ!$M$5:$M$452,"ST6")</f>
        <v>0</v>
      </c>
      <c r="F19" s="12" t="n">
        <f aca="false">SUM(B19:E19)</f>
        <v>20.4661</v>
      </c>
    </row>
    <row r="20" customFormat="false" ht="15" hidden="false" customHeight="false" outlineLevel="0" collapsed="false">
      <c r="A20" s="6" t="s">
        <v>257</v>
      </c>
      <c r="B20" s="12" t="n">
        <f aca="false">SUMIFS(BOQ!$O$5:$O$452,BOQ!$K$5:$K$452,$A20,BOQ!$M$5:$M$452,"ST2")</f>
        <v>23.1795</v>
      </c>
      <c r="C20" s="12" t="n">
        <f aca="false">SUMIFS(BOQ!$O$5:$O$452,BOQ!$K$5:$K$452,$A20,BOQ!$M$5:$M$452,"ST3")</f>
        <v>40.5911</v>
      </c>
      <c r="D20" s="12" t="n">
        <f aca="false">SUMIFS(BOQ!$O$5:$O$452,BOQ!$K$5:$K$452,$A20,BOQ!$M$5:$M$452,"ST4")</f>
        <v>0</v>
      </c>
      <c r="E20" s="12" t="n">
        <f aca="false">SUMIFS(BOQ!$O$5:$O$452,BOQ!$K$5:$K$452,$A20,BOQ!$M$5:$M$452,"ST6")</f>
        <v>0</v>
      </c>
      <c r="F20" s="12" t="n">
        <f aca="false">SUM(B20:E20)</f>
        <v>63.7706</v>
      </c>
    </row>
    <row r="21" customFormat="false" ht="15" hidden="false" customHeight="false" outlineLevel="0" collapsed="false">
      <c r="A21" s="6" t="s">
        <v>954</v>
      </c>
      <c r="B21" s="12" t="n">
        <f aca="false">SUMIFS(BOQ!$O$5:$O$452,BOQ!$K$5:$K$452,$A21,BOQ!$M$5:$M$452,"ST2")</f>
        <v>26.365</v>
      </c>
      <c r="C21" s="12" t="n">
        <f aca="false">SUMIFS(BOQ!$O$5:$O$452,BOQ!$K$5:$K$452,$A21,BOQ!$M$5:$M$452,"ST3")</f>
        <v>145.3435</v>
      </c>
      <c r="D21" s="12" t="n">
        <f aca="false">SUMIFS(BOQ!$O$5:$O$452,BOQ!$K$5:$K$452,$A21,BOQ!$M$5:$M$452,"ST4")</f>
        <v>0</v>
      </c>
      <c r="E21" s="12" t="n">
        <f aca="false">SUMIFS(BOQ!$O$5:$O$452,BOQ!$K$5:$K$452,$A21,BOQ!$M$5:$M$452,"ST6")</f>
        <v>0</v>
      </c>
      <c r="F21" s="12" t="n">
        <f aca="false">SUM(B21:E21)</f>
        <v>171.7085</v>
      </c>
    </row>
    <row r="22" customFormat="false" ht="15" hidden="false" customHeight="false" outlineLevel="0" collapsed="false">
      <c r="A22" s="3" t="s">
        <v>1072</v>
      </c>
      <c r="B22" s="24" t="n">
        <f aca="false">SUM(B4:B21)</f>
        <v>155.1304</v>
      </c>
      <c r="C22" s="24" t="n">
        <f aca="false">SUM(C4:C21)</f>
        <v>3785.6276</v>
      </c>
      <c r="D22" s="24" t="n">
        <f aca="false">SUM(D4:D21)</f>
        <v>2165.0331</v>
      </c>
      <c r="E22" s="24" t="n">
        <f aca="false">SUM(E4:E21)</f>
        <v>974.5926</v>
      </c>
      <c r="F22" s="24" t="n">
        <f aca="false">SUM(F4:F21)</f>
        <v>7080.3837</v>
      </c>
    </row>
    <row r="23" customFormat="false" ht="15" hidden="false" customHeight="false" outlineLevel="0" collapsed="false">
      <c r="A23" s="3" t="s">
        <v>1073</v>
      </c>
      <c r="B23" s="22" t="n">
        <f aca="false">Totals!I7</f>
        <v>170</v>
      </c>
      <c r="C23" s="22" t="n">
        <f aca="false">Totals!I8</f>
        <v>3940</v>
      </c>
      <c r="D23" s="22" t="n">
        <f aca="false">Totals!I9</f>
        <v>2260</v>
      </c>
      <c r="E23" s="22" t="n">
        <f aca="false">Totals!I10</f>
        <v>1020</v>
      </c>
      <c r="F23" s="22" t="n">
        <f aca="false">SUM(B23:E23)</f>
        <v>7390</v>
      </c>
    </row>
    <row r="24" customFormat="false" ht="15" hidden="false" customHeight="false" outlineLevel="0" collapsed="false">
      <c r="A24" s="2" t="s">
        <v>1074</v>
      </c>
      <c r="F24" s="22" t="n">
        <f aca="false">Totals!I11</f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80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1075</v>
      </c>
    </row>
    <row r="3" customFormat="false" ht="15" hidden="false" customHeight="false" outlineLevel="0" collapsed="false">
      <c r="A3" s="8" t="s">
        <v>1076</v>
      </c>
      <c r="B3" s="8" t="s">
        <v>1077</v>
      </c>
      <c r="C3" s="8" t="s">
        <v>1078</v>
      </c>
      <c r="D3" s="8" t="s">
        <v>271</v>
      </c>
    </row>
    <row r="4" customFormat="false" ht="15" hidden="false" customHeight="false" outlineLevel="0" collapsed="false">
      <c r="A4" s="6" t="n">
        <v>-48</v>
      </c>
      <c r="B4" s="6" t="s">
        <v>1079</v>
      </c>
      <c r="C4" s="6" t="s">
        <v>1080</v>
      </c>
      <c r="D4" s="6" t="s">
        <v>1081</v>
      </c>
    </row>
    <row r="5" customFormat="false" ht="15" hidden="false" customHeight="false" outlineLevel="0" collapsed="false">
      <c r="A5" s="6" t="n">
        <v>-45</v>
      </c>
      <c r="B5" s="6" t="s">
        <v>1082</v>
      </c>
      <c r="C5" s="6" t="s">
        <v>1083</v>
      </c>
      <c r="D5" s="6" t="s">
        <v>1084</v>
      </c>
    </row>
    <row r="6" customFormat="false" ht="15" hidden="false" customHeight="false" outlineLevel="0" collapsed="false">
      <c r="A6" s="6" t="n">
        <v>-42</v>
      </c>
      <c r="B6" s="6" t="s">
        <v>1085</v>
      </c>
      <c r="C6" s="6" t="s">
        <v>1086</v>
      </c>
      <c r="D6" s="6" t="s">
        <v>1087</v>
      </c>
    </row>
    <row r="7" customFormat="false" ht="15" hidden="false" customHeight="false" outlineLevel="0" collapsed="false">
      <c r="A7" s="6" t="n">
        <v>-27</v>
      </c>
      <c r="B7" s="6" t="s">
        <v>1088</v>
      </c>
      <c r="C7" s="6" t="s">
        <v>1089</v>
      </c>
      <c r="D7" s="6" t="s">
        <v>194</v>
      </c>
    </row>
    <row r="8" customFormat="false" ht="15" hidden="false" customHeight="false" outlineLevel="0" collapsed="false">
      <c r="A8" s="6" t="n">
        <v>-18</v>
      </c>
      <c r="B8" s="6" t="s">
        <v>1090</v>
      </c>
      <c r="C8" s="6" t="s">
        <v>1091</v>
      </c>
      <c r="D8" s="6" t="s">
        <v>1092</v>
      </c>
    </row>
    <row r="9" customFormat="false" ht="15" hidden="false" customHeight="false" outlineLevel="0" collapsed="false">
      <c r="A9" s="6" t="n">
        <v>0</v>
      </c>
      <c r="B9" s="6" t="s">
        <v>1093</v>
      </c>
      <c r="C9" s="6" t="s">
        <v>1094</v>
      </c>
      <c r="D9" s="6" t="s">
        <v>1095</v>
      </c>
    </row>
    <row r="10" customFormat="false" ht="15" hidden="false" customHeight="false" outlineLevel="0" collapsed="false">
      <c r="A10" s="6" t="n">
        <v>12</v>
      </c>
      <c r="B10" s="6" t="s">
        <v>1096</v>
      </c>
      <c r="C10" s="6" t="s">
        <v>1097</v>
      </c>
      <c r="D10" s="6" t="s">
        <v>1019</v>
      </c>
    </row>
    <row r="11" customFormat="false" ht="15" hidden="false" customHeight="false" outlineLevel="0" collapsed="false">
      <c r="A11" s="6" t="n">
        <v>14</v>
      </c>
      <c r="B11" s="6" t="s">
        <v>1098</v>
      </c>
      <c r="C11" s="6" t="s">
        <v>1099</v>
      </c>
      <c r="D11" s="6" t="s">
        <v>1100</v>
      </c>
    </row>
    <row r="12" customFormat="false" ht="15" hidden="false" customHeight="false" outlineLevel="0" collapsed="false">
      <c r="A12" s="6" t="n">
        <v>15</v>
      </c>
      <c r="B12" s="6" t="s">
        <v>1101</v>
      </c>
      <c r="C12" s="6" t="s">
        <v>1102</v>
      </c>
      <c r="D12" s="6" t="s">
        <v>1103</v>
      </c>
    </row>
    <row r="13" customFormat="false" ht="15" hidden="false" customHeight="false" outlineLevel="0" collapsed="false">
      <c r="A13" s="6" t="n">
        <v>22.5</v>
      </c>
      <c r="B13" s="6" t="s">
        <v>1104</v>
      </c>
      <c r="C13" s="6" t="s">
        <v>1105</v>
      </c>
      <c r="D13" s="6" t="s">
        <v>382</v>
      </c>
    </row>
    <row r="14" customFormat="false" ht="15" hidden="false" customHeight="false" outlineLevel="0" collapsed="false">
      <c r="A14" s="6" t="n">
        <v>23.5</v>
      </c>
      <c r="B14" s="6" t="s">
        <v>1106</v>
      </c>
      <c r="C14" s="6" t="s">
        <v>1107</v>
      </c>
      <c r="D14" s="6" t="s">
        <v>1100</v>
      </c>
    </row>
    <row r="15" customFormat="false" ht="15" hidden="false" customHeight="false" outlineLevel="0" collapsed="false">
      <c r="A15" s="6" t="n">
        <v>27.5</v>
      </c>
      <c r="B15" s="6" t="s">
        <v>1108</v>
      </c>
      <c r="C15" s="6" t="s">
        <v>1109</v>
      </c>
      <c r="D15" s="6" t="s">
        <v>425</v>
      </c>
    </row>
    <row r="16" customFormat="false" ht="15" hidden="false" customHeight="false" outlineLevel="0" collapsed="false">
      <c r="A16" s="6" t="n">
        <v>28.5</v>
      </c>
      <c r="B16" s="6" t="s">
        <v>1110</v>
      </c>
      <c r="C16" s="6" t="s">
        <v>1111</v>
      </c>
      <c r="D16" s="6" t="s">
        <v>425</v>
      </c>
    </row>
    <row r="17" customFormat="false" ht="15" hidden="false" customHeight="false" outlineLevel="0" collapsed="false">
      <c r="A17" s="6" t="n">
        <v>31.5</v>
      </c>
      <c r="B17" s="6" t="s">
        <v>1112</v>
      </c>
      <c r="C17" s="6" t="s">
        <v>1113</v>
      </c>
      <c r="D17" s="6" t="s">
        <v>1114</v>
      </c>
    </row>
    <row r="18" customFormat="false" ht="15" hidden="false" customHeight="false" outlineLevel="0" collapsed="false">
      <c r="A18" s="6" t="n">
        <v>33</v>
      </c>
      <c r="B18" s="6" t="s">
        <v>1115</v>
      </c>
      <c r="C18" s="6" t="s">
        <v>1116</v>
      </c>
      <c r="D18" s="6" t="s">
        <v>388</v>
      </c>
    </row>
    <row r="20" customFormat="false" ht="15" hidden="false" customHeight="false" outlineLevel="0" collapsed="false">
      <c r="A20" s="3" t="s">
        <v>1117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2026-10-03T08:15:28Z</dcterms:created>
  <dc:creator>openpyxl</dc:creator>
  <dc:description/>
  <dc:language>en-US</dc:language>
  <cp:lastModifiedBy/>
  <dcterms:modified xsi:type="dcterms:W3CDTF">2026-10-03T08:15:28Z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